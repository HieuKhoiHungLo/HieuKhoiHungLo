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THANH GIONG\Downloads\"/>
    </mc:Choice>
  </mc:AlternateContent>
  <xr:revisionPtr revIDLastSave="0" documentId="13_ncr:1_{6C3E96E8-8270-45C1-B119-DE9FC2F722B4}" xr6:coauthVersionLast="47" xr6:coauthVersionMax="47" xr10:uidLastSave="{00000000-0000-0000-0000-000000000000}"/>
  <bookViews>
    <workbookView xWindow="-120" yWindow="-120" windowWidth="29040" windowHeight="15720" tabRatio="892" xr2:uid="{00000000-000D-0000-FFFF-FFFF00000000}"/>
  </bookViews>
  <sheets>
    <sheet name="MS01" sheetId="20" r:id="rId1"/>
    <sheet name="MS02" sheetId="27" r:id="rId2"/>
  </sheets>
  <externalReferences>
    <externalReference r:id="rId3"/>
  </externalReferences>
  <definedNames>
    <definedName name="_xlnm._FilterDatabase" localSheetId="0" hidden="1">'MS01'!$A$7:$L$107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20" l="1"/>
  <c r="H41" i="20"/>
  <c r="H37" i="20"/>
  <c r="H35" i="20"/>
  <c r="H33" i="20"/>
  <c r="H30" i="20"/>
  <c r="H27" i="20"/>
  <c r="H15" i="20"/>
  <c r="H12" i="20"/>
  <c r="H10" i="20"/>
  <c r="I43" i="20"/>
  <c r="J43" i="20"/>
  <c r="K43" i="20"/>
  <c r="L43" i="20"/>
  <c r="E43" i="20"/>
  <c r="F43" i="20"/>
  <c r="G43" i="20"/>
  <c r="I41" i="20"/>
  <c r="J41" i="20"/>
  <c r="K41" i="20"/>
  <c r="L41" i="20"/>
  <c r="E41" i="20"/>
  <c r="F41" i="20"/>
  <c r="G41" i="20"/>
  <c r="I37" i="20"/>
  <c r="J37" i="20"/>
  <c r="K37" i="20"/>
  <c r="L37" i="20"/>
  <c r="E37" i="20"/>
  <c r="F37" i="20"/>
  <c r="G37" i="20"/>
  <c r="I35" i="20"/>
  <c r="J35" i="20"/>
  <c r="K35" i="20"/>
  <c r="L35" i="20"/>
  <c r="E35" i="20"/>
  <c r="F35" i="20"/>
  <c r="G35" i="20"/>
  <c r="I33" i="20"/>
  <c r="J33" i="20"/>
  <c r="K33" i="20"/>
  <c r="L33" i="20"/>
  <c r="E33" i="20"/>
  <c r="F33" i="20"/>
  <c r="G33" i="20"/>
  <c r="I30" i="20"/>
  <c r="J30" i="20"/>
  <c r="K30" i="20"/>
  <c r="L30" i="20"/>
  <c r="E30" i="20"/>
  <c r="F30" i="20"/>
  <c r="G30" i="20"/>
  <c r="I27" i="20"/>
  <c r="J27" i="20"/>
  <c r="K27" i="20"/>
  <c r="L27" i="20"/>
  <c r="E27" i="20"/>
  <c r="F27" i="20"/>
  <c r="G27" i="20"/>
  <c r="K15" i="20"/>
  <c r="L15" i="20"/>
  <c r="E15" i="20"/>
  <c r="F15" i="20"/>
  <c r="I15" i="20"/>
  <c r="J15" i="20"/>
  <c r="G15" i="20"/>
  <c r="I12" i="20"/>
  <c r="J12" i="20"/>
  <c r="K12" i="20"/>
  <c r="L12" i="20"/>
  <c r="E12" i="20"/>
  <c r="F12" i="20"/>
  <c r="G12" i="20"/>
  <c r="I10" i="20"/>
  <c r="J10" i="20"/>
  <c r="K10" i="20"/>
  <c r="L10" i="20"/>
  <c r="E10" i="20"/>
  <c r="F10" i="20"/>
  <c r="G10" i="20"/>
  <c r="I7" i="20"/>
  <c r="J7" i="20"/>
  <c r="K7" i="20"/>
  <c r="L7" i="20"/>
  <c r="E7" i="20"/>
  <c r="F7" i="20"/>
  <c r="G7" i="20"/>
  <c r="K19" i="27"/>
  <c r="K17" i="27"/>
  <c r="K16" i="27" s="1"/>
  <c r="K15" i="27"/>
  <c r="K14" i="27"/>
  <c r="K12" i="27"/>
  <c r="K11" i="27" s="1"/>
  <c r="K10" i="27"/>
  <c r="K9" i="27"/>
  <c r="J19" i="27"/>
  <c r="J18" i="27" s="1"/>
  <c r="J17" i="27"/>
  <c r="J16" i="27" s="1"/>
  <c r="J15" i="27"/>
  <c r="J14" i="27"/>
  <c r="J12" i="27"/>
  <c r="J11" i="27" s="1"/>
  <c r="J10" i="27"/>
  <c r="J9" i="27"/>
  <c r="E7" i="27"/>
  <c r="F7" i="27"/>
  <c r="G7" i="27"/>
  <c r="H7" i="27"/>
  <c r="I7" i="27"/>
  <c r="D7" i="27"/>
  <c r="E8" i="27"/>
  <c r="F8" i="27"/>
  <c r="G8" i="27"/>
  <c r="H8" i="27"/>
  <c r="I8" i="27"/>
  <c r="E11" i="27"/>
  <c r="F11" i="27"/>
  <c r="G11" i="27"/>
  <c r="H11" i="27"/>
  <c r="I11" i="27"/>
  <c r="E13" i="27"/>
  <c r="F13" i="27"/>
  <c r="G13" i="27"/>
  <c r="H13" i="27"/>
  <c r="I13" i="27"/>
  <c r="E16" i="27"/>
  <c r="F16" i="27"/>
  <c r="G16" i="27"/>
  <c r="H16" i="27"/>
  <c r="I16" i="27"/>
  <c r="E18" i="27"/>
  <c r="F18" i="27"/>
  <c r="G18" i="27"/>
  <c r="H18" i="27"/>
  <c r="I18" i="27"/>
  <c r="K18" i="27"/>
  <c r="D18" i="27"/>
  <c r="D16" i="27"/>
  <c r="D13" i="27"/>
  <c r="D11" i="27"/>
  <c r="D8" i="27"/>
  <c r="F19" i="27"/>
  <c r="F17" i="27"/>
  <c r="F15" i="27"/>
  <c r="F14" i="27"/>
  <c r="F12" i="27"/>
  <c r="F10" i="27"/>
  <c r="F9" i="27"/>
  <c r="K6" i="20" l="1"/>
  <c r="L6" i="20"/>
  <c r="J6" i="20"/>
  <c r="I6" i="20"/>
  <c r="G6" i="20"/>
  <c r="H7" i="20"/>
  <c r="H6" i="20" s="1"/>
  <c r="K13" i="27"/>
  <c r="K8" i="27"/>
  <c r="J13" i="27"/>
  <c r="J8" i="27"/>
  <c r="K7" i="27" l="1"/>
  <c r="J7" i="27"/>
</calcChain>
</file>

<file path=xl/sharedStrings.xml><?xml version="1.0" encoding="utf-8"?>
<sst xmlns="http://schemas.openxmlformats.org/spreadsheetml/2006/main" count="392" uniqueCount="220">
  <si>
    <t>STT</t>
  </si>
  <si>
    <t>Kinh tế</t>
  </si>
  <si>
    <t>Sư phạm Mỹ thuật</t>
  </si>
  <si>
    <t>Công tác xã hội</t>
  </si>
  <si>
    <t>Công nghệ kỹ thuật cơ khí</t>
  </si>
  <si>
    <t>Chăn nuôi</t>
  </si>
  <si>
    <t>Điều dưỡng</t>
  </si>
  <si>
    <t>Sư phạm Lịch sử - Địa lí</t>
  </si>
  <si>
    <t>Du lịch</t>
  </si>
  <si>
    <t>Sư phạm khoa học tự nhiên</t>
  </si>
  <si>
    <t>Khoa học cây trồng</t>
  </si>
  <si>
    <t>Sư phạm Địa lý</t>
  </si>
  <si>
    <t>Kế toán</t>
  </si>
  <si>
    <t>Ngôn ngữ Anh</t>
  </si>
  <si>
    <t>Giáo dục Tiểu học</t>
  </si>
  <si>
    <t>Ngôn ngữ Trung Quốc</t>
  </si>
  <si>
    <t>Sư phạm Tiếng Anh</t>
  </si>
  <si>
    <t>Giáo dục Thể chất</t>
  </si>
  <si>
    <t>Tài chính - Ngân hàng</t>
  </si>
  <si>
    <t>Sư phạm Ngữ văn</t>
  </si>
  <si>
    <t>Sư phạm Âm nhạc</t>
  </si>
  <si>
    <t>Quản trị dịch vụ du lịch và lữ hành</t>
  </si>
  <si>
    <t>Thú y</t>
  </si>
  <si>
    <t>Giáo dục Mầm non</t>
  </si>
  <si>
    <t>Công nghệ thông tin</t>
  </si>
  <si>
    <t>Sư phạm Toán học</t>
  </si>
  <si>
    <t>Quản trị kinh doanh</t>
  </si>
  <si>
    <t>Công nghệ kỹ thuật điện, điện tử</t>
  </si>
  <si>
    <t>7310101</t>
  </si>
  <si>
    <t>7140222</t>
  </si>
  <si>
    <t>7760101</t>
  </si>
  <si>
    <t>7510201</t>
  </si>
  <si>
    <t>7620105</t>
  </si>
  <si>
    <t>7720301</t>
  </si>
  <si>
    <t>7140249</t>
  </si>
  <si>
    <t>7810101</t>
  </si>
  <si>
    <t>7140247</t>
  </si>
  <si>
    <t>7620110</t>
  </si>
  <si>
    <t>7140219</t>
  </si>
  <si>
    <t>7340301</t>
  </si>
  <si>
    <t>7220201</t>
  </si>
  <si>
    <t>7140202</t>
  </si>
  <si>
    <t>7220204</t>
  </si>
  <si>
    <t>7140231</t>
  </si>
  <si>
    <t>7140206</t>
  </si>
  <si>
    <t>7340201</t>
  </si>
  <si>
    <t>7140217</t>
  </si>
  <si>
    <t>7140221</t>
  </si>
  <si>
    <t>7810103</t>
  </si>
  <si>
    <t>7640101</t>
  </si>
  <si>
    <t>7140201</t>
  </si>
  <si>
    <t>7480201</t>
  </si>
  <si>
    <t>7140209</t>
  </si>
  <si>
    <t>7340101</t>
  </si>
  <si>
    <t>7510301</t>
  </si>
  <si>
    <t>Thạc sĩ</t>
  </si>
  <si>
    <t>Giáo dục học</t>
  </si>
  <si>
    <t>Tiến sĩ</t>
  </si>
  <si>
    <t>Quản lý kinh tế</t>
  </si>
  <si>
    <t>Sinh học</t>
  </si>
  <si>
    <t>Lý luận văn học</t>
  </si>
  <si>
    <t>Lý luận và phương pháp dạy học bộ môn</t>
  </si>
  <si>
    <t>Trình độ/Lĩnh vực/Ngành đào tạo</t>
  </si>
  <si>
    <t>Mã ngành</t>
  </si>
  <si>
    <t>1.1</t>
  </si>
  <si>
    <t>1.2</t>
  </si>
  <si>
    <t>2.1</t>
  </si>
  <si>
    <t>2.1.1</t>
  </si>
  <si>
    <t>Khoa học xã hội và hành vi</t>
  </si>
  <si>
    <t>831</t>
  </si>
  <si>
    <t>2.1.1.1</t>
  </si>
  <si>
    <t>8310110</t>
  </si>
  <si>
    <t>2.1.2</t>
  </si>
  <si>
    <t>Khoa học sự sống</t>
  </si>
  <si>
    <t>842</t>
  </si>
  <si>
    <t>2.1.2.1</t>
  </si>
  <si>
    <t>8420101</t>
  </si>
  <si>
    <t>2.1.2.2</t>
  </si>
  <si>
    <t>Nhân văn</t>
  </si>
  <si>
    <t>822</t>
  </si>
  <si>
    <t>8220120</t>
  </si>
  <si>
    <t>Nông, lâm nghiệp và thủy sản</t>
  </si>
  <si>
    <t>862</t>
  </si>
  <si>
    <t>8620105</t>
  </si>
  <si>
    <t>8620110</t>
  </si>
  <si>
    <t>Khoa học giáo dục và đào tạo giáo viên</t>
  </si>
  <si>
    <t>814</t>
  </si>
  <si>
    <t>8140101</t>
  </si>
  <si>
    <t>8140111</t>
  </si>
  <si>
    <t>2.2</t>
  </si>
  <si>
    <t>Đại học chính quy</t>
  </si>
  <si>
    <t>Máy tính và công nghệ thông tin</t>
  </si>
  <si>
    <t>748</t>
  </si>
  <si>
    <t>Du lịch, khách sạn, thể thao và dịch vụ cá nhân</t>
  </si>
  <si>
    <t>781</t>
  </si>
  <si>
    <t>764</t>
  </si>
  <si>
    <t>731</t>
  </si>
  <si>
    <t>Công nghệ kỹ thuật</t>
  </si>
  <si>
    <t>751</t>
  </si>
  <si>
    <t>Sức khỏe</t>
  </si>
  <si>
    <t>772</t>
  </si>
  <si>
    <t>Kinh doanh và quản lý</t>
  </si>
  <si>
    <t>734</t>
  </si>
  <si>
    <t>722</t>
  </si>
  <si>
    <t>762</t>
  </si>
  <si>
    <t>714</t>
  </si>
  <si>
    <t>Dịch vụ xã hội</t>
  </si>
  <si>
    <t>776</t>
  </si>
  <si>
    <t>Liên thông từ trung cấp lên đại học</t>
  </si>
  <si>
    <t>Liên thông từ cao đẳng lên đại học</t>
  </si>
  <si>
    <t>Đại học vừa làm vừa học</t>
  </si>
  <si>
    <t>Vừa làm vừa học</t>
  </si>
  <si>
    <t>Đào tạo vừa làm vừa học đối với người đã tốt nghiệp trình độ đại học trở lên</t>
  </si>
  <si>
    <t>2.1.1.2</t>
  </si>
  <si>
    <t>1.3</t>
  </si>
  <si>
    <t>1.4</t>
  </si>
  <si>
    <t>1.5</t>
  </si>
  <si>
    <t>1.6</t>
  </si>
  <si>
    <t>2.3</t>
  </si>
  <si>
    <t>2.4</t>
  </si>
  <si>
    <t>2.5</t>
  </si>
  <si>
    <t>Loại hình thức đào tạo*</t>
  </si>
  <si>
    <t>Chỉ tiêu năm 2024</t>
  </si>
  <si>
    <t>Nhập học năm 2024</t>
  </si>
  <si>
    <t>Tốt nghiệp năm 2024</t>
  </si>
  <si>
    <t>Chỉ tiêu năm 2025</t>
  </si>
  <si>
    <t>Chỉ tiêu tối đa theo năng lực</t>
  </si>
  <si>
    <t>Chỉ tiêu xác định, công bố</t>
  </si>
  <si>
    <t>1.1.1</t>
  </si>
  <si>
    <t>1.1.2</t>
  </si>
  <si>
    <t>1.2.1</t>
  </si>
  <si>
    <t>1.3.1</t>
  </si>
  <si>
    <t>1.3.2</t>
  </si>
  <si>
    <t>1.4.1</t>
  </si>
  <si>
    <t>1.5.1</t>
  </si>
  <si>
    <t>1.4.2</t>
  </si>
  <si>
    <t>1.4.3</t>
  </si>
  <si>
    <t>1.4.4</t>
  </si>
  <si>
    <t>1.4.9</t>
  </si>
  <si>
    <t>1.4.11</t>
  </si>
  <si>
    <t>1.4.12</t>
  </si>
  <si>
    <t>1.4.13</t>
  </si>
  <si>
    <t>1.4.14</t>
  </si>
  <si>
    <t>1.4.15</t>
  </si>
  <si>
    <t>1.4.16</t>
  </si>
  <si>
    <t>1.5.2</t>
  </si>
  <si>
    <t>1.6.1</t>
  </si>
  <si>
    <t>1.6.2</t>
  </si>
  <si>
    <t>1.7</t>
  </si>
  <si>
    <t>1.7.1</t>
  </si>
  <si>
    <t>1.8</t>
  </si>
  <si>
    <t>1.8.1</t>
  </si>
  <si>
    <t>1.9</t>
  </si>
  <si>
    <t>1.9.1</t>
  </si>
  <si>
    <t>1.9.2</t>
  </si>
  <si>
    <t>1.9.3</t>
  </si>
  <si>
    <t>1.10</t>
  </si>
  <si>
    <t>1.10.1</t>
  </si>
  <si>
    <t>1.11</t>
  </si>
  <si>
    <t>1.11.1</t>
  </si>
  <si>
    <t>Nhập học năm 2025</t>
  </si>
  <si>
    <t>Quy mô tính tại thời điểm báo cáo</t>
  </si>
  <si>
    <t>Mẫu 01: Kết quả tuyển sinh trình độ đại học</t>
  </si>
  <si>
    <t>Chính quy đại trà</t>
  </si>
  <si>
    <t>2.2.1</t>
  </si>
  <si>
    <t>2.3.1</t>
  </si>
  <si>
    <t>2.3.2</t>
  </si>
  <si>
    <t>2.4.1</t>
  </si>
  <si>
    <t>2.5.1</t>
  </si>
  <si>
    <t>Đang học năm 2024</t>
  </si>
  <si>
    <t>Đang học năm 2025</t>
  </si>
  <si>
    <t>2.1.1.3</t>
  </si>
  <si>
    <t>2.1.1.4</t>
  </si>
  <si>
    <t>2.1.1.5</t>
  </si>
  <si>
    <t>2.1.1.6</t>
  </si>
  <si>
    <t>2.2.1.1</t>
  </si>
  <si>
    <t>2.2.1.2</t>
  </si>
  <si>
    <t>2.2.1.3</t>
  </si>
  <si>
    <t>2.2.1.4</t>
  </si>
  <si>
    <t>2.2.2</t>
  </si>
  <si>
    <t>2.2.2.1</t>
  </si>
  <si>
    <t>2.3.1.1</t>
  </si>
  <si>
    <t>2.3.1.2</t>
  </si>
  <si>
    <t>2.3.1.3</t>
  </si>
  <si>
    <t>2.3.1.4</t>
  </si>
  <si>
    <t>2.3.1.5</t>
  </si>
  <si>
    <t>2.3.1.6</t>
  </si>
  <si>
    <t>2.3.1.7</t>
  </si>
  <si>
    <t>2.3.1.8</t>
  </si>
  <si>
    <t>2.3.2.1</t>
  </si>
  <si>
    <t>2.3.2.2</t>
  </si>
  <si>
    <t>2.3.3</t>
  </si>
  <si>
    <t>2.3.3.1</t>
  </si>
  <si>
    <t>2.3.4</t>
  </si>
  <si>
    <t>2.3.4.1</t>
  </si>
  <si>
    <t>2.3.5</t>
  </si>
  <si>
    <t>2.3.5.1</t>
  </si>
  <si>
    <t>2.3.6</t>
  </si>
  <si>
    <t>2.3.6.1</t>
  </si>
  <si>
    <t>2.3.7</t>
  </si>
  <si>
    <t>2.3.7.1</t>
  </si>
  <si>
    <t>2.4.1.1</t>
  </si>
  <si>
    <t>2.4.1.2</t>
  </si>
  <si>
    <t>2.4.1.3</t>
  </si>
  <si>
    <t>2.4.1.4</t>
  </si>
  <si>
    <t>2.4.1.5</t>
  </si>
  <si>
    <t>2.4.1.6</t>
  </si>
  <si>
    <t>2.4.1.7</t>
  </si>
  <si>
    <t>2.4.2</t>
  </si>
  <si>
    <t>2.4.2.1</t>
  </si>
  <si>
    <t>2.4.2.2</t>
  </si>
  <si>
    <t>2.4.3</t>
  </si>
  <si>
    <t>2.4.3.1</t>
  </si>
  <si>
    <t>2.4.4</t>
  </si>
  <si>
    <t>2.4.4.1</t>
  </si>
  <si>
    <t>2.4.5</t>
  </si>
  <si>
    <t>2.4.5.1</t>
  </si>
  <si>
    <t>k22</t>
  </si>
  <si>
    <t>k23</t>
  </si>
  <si>
    <t>Thêm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</si>
</sst>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\DE\Dang%20hoc.xlsx" TargetMode="External"/><Relationship Id="rId1" Type="http://schemas.openxmlformats.org/officeDocument/2006/relationships/externalLinkPath" Target="file:///D:\De\DE\Dang%20h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5.NV"/>
    </sheetNames>
    <sheetDataSet>
      <sheetData sheetId="0">
        <row r="84">
          <cell r="A84" t="str">
            <v>8140101</v>
          </cell>
          <cell r="B84" t="str">
            <v>Giáo dục học</v>
          </cell>
          <cell r="C84">
            <v>46</v>
          </cell>
          <cell r="D84">
            <v>0</v>
          </cell>
          <cell r="E84">
            <v>75</v>
          </cell>
          <cell r="F84">
            <v>0</v>
          </cell>
          <cell r="G84">
            <v>70</v>
          </cell>
          <cell r="H84">
            <v>2</v>
          </cell>
          <cell r="I84">
            <v>70</v>
          </cell>
          <cell r="J84">
            <v>2</v>
          </cell>
          <cell r="K84">
            <v>70</v>
          </cell>
          <cell r="L84">
            <v>38</v>
          </cell>
          <cell r="M84">
            <v>100</v>
          </cell>
          <cell r="N84">
            <v>99</v>
          </cell>
          <cell r="O84">
            <v>431</v>
          </cell>
          <cell r="P84">
            <v>141</v>
          </cell>
        </row>
        <row r="85">
          <cell r="A85" t="str">
            <v>8140111</v>
          </cell>
          <cell r="B85" t="str">
            <v>Lý luận và PPDH bộ môn Toán</v>
          </cell>
          <cell r="C85">
            <v>26</v>
          </cell>
          <cell r="D85">
            <v>0</v>
          </cell>
          <cell r="E85">
            <v>35</v>
          </cell>
          <cell r="F85">
            <v>0</v>
          </cell>
          <cell r="G85">
            <v>45</v>
          </cell>
          <cell r="H85">
            <v>1</v>
          </cell>
          <cell r="I85">
            <v>45</v>
          </cell>
          <cell r="K85">
            <v>45</v>
          </cell>
          <cell r="L85">
            <v>27</v>
          </cell>
          <cell r="M85">
            <v>45</v>
          </cell>
          <cell r="N85">
            <v>45</v>
          </cell>
          <cell r="O85">
            <v>241</v>
          </cell>
          <cell r="P85">
            <v>73</v>
          </cell>
        </row>
        <row r="86">
          <cell r="A86" t="str">
            <v>8220120</v>
          </cell>
          <cell r="B86" t="str">
            <v>Lý luận văn học</v>
          </cell>
          <cell r="C86">
            <v>15</v>
          </cell>
          <cell r="D86">
            <v>0</v>
          </cell>
          <cell r="E86">
            <v>25</v>
          </cell>
          <cell r="F86">
            <v>0</v>
          </cell>
          <cell r="G86">
            <v>25</v>
          </cell>
          <cell r="I86">
            <v>25</v>
          </cell>
          <cell r="K86">
            <v>25</v>
          </cell>
          <cell r="L86">
            <v>16</v>
          </cell>
          <cell r="M86">
            <v>20</v>
          </cell>
          <cell r="N86">
            <v>19</v>
          </cell>
          <cell r="O86">
            <v>135</v>
          </cell>
          <cell r="P86">
            <v>35</v>
          </cell>
        </row>
        <row r="87">
          <cell r="A87" t="str">
            <v>8310110</v>
          </cell>
          <cell r="B87" t="str">
            <v>Quản lý kinh tế</v>
          </cell>
          <cell r="C87">
            <v>63</v>
          </cell>
          <cell r="D87">
            <v>0</v>
          </cell>
          <cell r="E87">
            <v>75</v>
          </cell>
          <cell r="F87">
            <v>0</v>
          </cell>
          <cell r="G87">
            <v>60</v>
          </cell>
          <cell r="H87">
            <v>2</v>
          </cell>
          <cell r="I87">
            <v>85</v>
          </cell>
          <cell r="J87">
            <v>14</v>
          </cell>
          <cell r="K87">
            <v>110</v>
          </cell>
          <cell r="L87">
            <v>87</v>
          </cell>
          <cell r="M87">
            <v>110</v>
          </cell>
          <cell r="N87">
            <v>108</v>
          </cell>
          <cell r="O87">
            <v>503</v>
          </cell>
          <cell r="P87">
            <v>211</v>
          </cell>
        </row>
        <row r="88">
          <cell r="A88" t="str">
            <v>8420101</v>
          </cell>
          <cell r="B88" t="str">
            <v>Sinh học</v>
          </cell>
          <cell r="C88">
            <v>15</v>
          </cell>
          <cell r="D88">
            <v>0</v>
          </cell>
          <cell r="E88">
            <v>15</v>
          </cell>
          <cell r="F88">
            <v>0</v>
          </cell>
          <cell r="G88">
            <v>20</v>
          </cell>
          <cell r="I88">
            <v>15</v>
          </cell>
          <cell r="J88">
            <v>1</v>
          </cell>
          <cell r="K88">
            <v>15</v>
          </cell>
          <cell r="L88">
            <v>2</v>
          </cell>
          <cell r="M88">
            <v>10</v>
          </cell>
          <cell r="O88">
            <v>90</v>
          </cell>
          <cell r="P88">
            <v>3</v>
          </cell>
        </row>
        <row r="89">
          <cell r="A89" t="str">
            <v>8420111</v>
          </cell>
          <cell r="B89" t="str">
            <v>Thực vật học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I89">
            <v>0</v>
          </cell>
          <cell r="K89">
            <v>0</v>
          </cell>
          <cell r="O89">
            <v>0</v>
          </cell>
          <cell r="P89">
            <v>0</v>
          </cell>
        </row>
        <row r="90">
          <cell r="A90" t="str">
            <v>8620105</v>
          </cell>
          <cell r="B90" t="str">
            <v>Chăn nuôi</v>
          </cell>
          <cell r="C90">
            <v>10</v>
          </cell>
          <cell r="D90">
            <v>0</v>
          </cell>
          <cell r="E90">
            <v>10</v>
          </cell>
          <cell r="F90">
            <v>0</v>
          </cell>
          <cell r="G90">
            <v>10</v>
          </cell>
          <cell r="I90">
            <v>0</v>
          </cell>
          <cell r="K90">
            <v>0</v>
          </cell>
          <cell r="O90">
            <v>30</v>
          </cell>
          <cell r="P90">
            <v>0</v>
          </cell>
        </row>
        <row r="91">
          <cell r="A91" t="str">
            <v>8620110</v>
          </cell>
          <cell r="B91" t="str">
            <v>Khoa học cây trồng</v>
          </cell>
          <cell r="C91">
            <v>15</v>
          </cell>
          <cell r="D91">
            <v>0</v>
          </cell>
          <cell r="E91">
            <v>10</v>
          </cell>
          <cell r="F91">
            <v>0</v>
          </cell>
          <cell r="G91">
            <v>0</v>
          </cell>
          <cell r="I91">
            <v>0</v>
          </cell>
          <cell r="K91">
            <v>0</v>
          </cell>
          <cell r="M91">
            <v>10</v>
          </cell>
          <cell r="N91">
            <v>4</v>
          </cell>
          <cell r="O91">
            <v>35</v>
          </cell>
          <cell r="P91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07"/>
  <sheetViews>
    <sheetView tabSelected="1" topLeftCell="A85" workbookViewId="0">
      <selection activeCell="D54" sqref="D54"/>
    </sheetView>
  </sheetViews>
  <sheetFormatPr defaultColWidth="9.140625" defaultRowHeight="15" x14ac:dyDescent="0.25"/>
  <cols>
    <col min="1" max="1" width="9.140625" style="2" customWidth="1"/>
    <col min="2" max="2" width="41.42578125" style="2" customWidth="1"/>
    <col min="3" max="3" width="8.28515625" style="2" customWidth="1"/>
    <col min="4" max="4" width="16" style="2" customWidth="1"/>
    <col min="5" max="6" width="8.28515625" style="2" customWidth="1"/>
    <col min="7" max="7" width="8.28515625" style="26" customWidth="1"/>
    <col min="8" max="10" width="8.28515625" style="2" customWidth="1"/>
    <col min="11" max="11" width="9.140625" style="26" customWidth="1"/>
    <col min="12" max="12" width="9.140625" style="2"/>
    <col min="13" max="13" width="19.7109375" style="2" customWidth="1"/>
    <col min="14" max="16384" width="9.140625" style="2"/>
  </cols>
  <sheetData>
    <row r="1" spans="1:12" s="1" customFormat="1" ht="13.9" x14ac:dyDescent="0.25">
      <c r="G1" s="22"/>
      <c r="K1" s="22"/>
    </row>
    <row r="2" spans="1:12" s="1" customFormat="1" x14ac:dyDescent="0.25">
      <c r="A2" s="21" t="s">
        <v>162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2" x14ac:dyDescent="0.25">
      <c r="G3" s="26" t="s">
        <v>217</v>
      </c>
      <c r="K3" s="26" t="s">
        <v>218</v>
      </c>
    </row>
    <row r="4" spans="1:12" s="3" customFormat="1" ht="56.45" customHeight="1" x14ac:dyDescent="0.25">
      <c r="A4" s="20" t="s">
        <v>0</v>
      </c>
      <c r="B4" s="20" t="s">
        <v>62</v>
      </c>
      <c r="C4" s="20" t="s">
        <v>63</v>
      </c>
      <c r="D4" s="20" t="s">
        <v>121</v>
      </c>
      <c r="E4" s="20" t="s">
        <v>122</v>
      </c>
      <c r="F4" s="20"/>
      <c r="G4" s="23" t="s">
        <v>169</v>
      </c>
      <c r="H4" s="20" t="s">
        <v>124</v>
      </c>
      <c r="I4" s="20" t="s">
        <v>125</v>
      </c>
      <c r="J4" s="20"/>
      <c r="K4" s="23" t="s">
        <v>170</v>
      </c>
      <c r="L4" s="20" t="s">
        <v>161</v>
      </c>
    </row>
    <row r="5" spans="1:12" s="3" customFormat="1" ht="27.6" customHeight="1" x14ac:dyDescent="0.25">
      <c r="A5" s="20"/>
      <c r="B5" s="20"/>
      <c r="C5" s="20"/>
      <c r="D5" s="20"/>
      <c r="E5" s="4" t="s">
        <v>126</v>
      </c>
      <c r="F5" s="4" t="s">
        <v>127</v>
      </c>
      <c r="G5" s="23"/>
      <c r="H5" s="20"/>
      <c r="I5" s="4" t="s">
        <v>126</v>
      </c>
      <c r="J5" s="4" t="s">
        <v>127</v>
      </c>
      <c r="K5" s="23"/>
      <c r="L5" s="20"/>
    </row>
    <row r="6" spans="1:12" x14ac:dyDescent="0.25">
      <c r="A6" s="16">
        <v>1</v>
      </c>
      <c r="B6" s="17" t="s">
        <v>90</v>
      </c>
      <c r="C6" s="16"/>
      <c r="D6" s="16"/>
      <c r="E6" s="16">
        <v>5930</v>
      </c>
      <c r="F6" s="16">
        <v>1560</v>
      </c>
      <c r="G6" s="18">
        <f>G7+G10+G12+G15+G27+G30+G33+G35+G37+G41+G43</f>
        <v>1755</v>
      </c>
      <c r="H6" s="16">
        <f t="shared" ref="H6:L6" si="0">H7+H10+H12+H15+H27+H30+H33+H35+H37+H41+H43</f>
        <v>620</v>
      </c>
      <c r="I6" s="16">
        <f t="shared" si="0"/>
        <v>5397</v>
      </c>
      <c r="J6" s="16">
        <f t="shared" si="0"/>
        <v>2345</v>
      </c>
      <c r="K6" s="18">
        <f t="shared" si="0"/>
        <v>2619</v>
      </c>
      <c r="L6" s="16">
        <f t="shared" si="0"/>
        <v>6394</v>
      </c>
    </row>
    <row r="7" spans="1:12" ht="28.5" x14ac:dyDescent="0.25">
      <c r="A7" s="16" t="s">
        <v>64</v>
      </c>
      <c r="B7" s="17" t="s">
        <v>93</v>
      </c>
      <c r="C7" s="16" t="s">
        <v>94</v>
      </c>
      <c r="D7" s="16"/>
      <c r="E7" s="16">
        <f t="shared" ref="E7:F7" si="1">E8+E9</f>
        <v>283</v>
      </c>
      <c r="F7" s="16">
        <f t="shared" si="1"/>
        <v>40</v>
      </c>
      <c r="G7" s="18">
        <f>G8+G9</f>
        <v>45</v>
      </c>
      <c r="H7" s="16">
        <f t="shared" ref="H7:L7" si="2">H8+H9</f>
        <v>27</v>
      </c>
      <c r="I7" s="16">
        <f t="shared" si="2"/>
        <v>230</v>
      </c>
      <c r="J7" s="16">
        <f t="shared" si="2"/>
        <v>180</v>
      </c>
      <c r="K7" s="18">
        <f t="shared" si="2"/>
        <v>204</v>
      </c>
      <c r="L7" s="16">
        <f t="shared" si="2"/>
        <v>307</v>
      </c>
    </row>
    <row r="8" spans="1:12" x14ac:dyDescent="0.25">
      <c r="A8" s="10" t="s">
        <v>128</v>
      </c>
      <c r="B8" s="13" t="s">
        <v>8</v>
      </c>
      <c r="C8" s="10" t="s">
        <v>35</v>
      </c>
      <c r="D8" s="13" t="s">
        <v>163</v>
      </c>
      <c r="E8" s="10">
        <v>121</v>
      </c>
      <c r="F8" s="10">
        <v>0</v>
      </c>
      <c r="G8" s="14">
        <v>0</v>
      </c>
      <c r="H8" s="10">
        <v>10</v>
      </c>
      <c r="I8" s="10">
        <v>110</v>
      </c>
      <c r="J8" s="10">
        <v>80</v>
      </c>
      <c r="K8" s="24">
        <v>83</v>
      </c>
      <c r="L8" s="9">
        <v>91</v>
      </c>
    </row>
    <row r="9" spans="1:12" x14ac:dyDescent="0.25">
      <c r="A9" s="10" t="s">
        <v>129</v>
      </c>
      <c r="B9" s="13" t="s">
        <v>21</v>
      </c>
      <c r="C9" s="10" t="s">
        <v>48</v>
      </c>
      <c r="D9" s="13" t="s">
        <v>163</v>
      </c>
      <c r="E9" s="10">
        <v>162</v>
      </c>
      <c r="F9" s="10">
        <v>40</v>
      </c>
      <c r="G9" s="14">
        <v>45</v>
      </c>
      <c r="H9" s="10">
        <v>17</v>
      </c>
      <c r="I9" s="10">
        <v>120</v>
      </c>
      <c r="J9" s="10">
        <v>100</v>
      </c>
      <c r="K9" s="24">
        <v>121</v>
      </c>
      <c r="L9" s="9">
        <v>216</v>
      </c>
    </row>
    <row r="10" spans="1:12" x14ac:dyDescent="0.25">
      <c r="A10" s="16" t="s">
        <v>65</v>
      </c>
      <c r="B10" s="17" t="s">
        <v>91</v>
      </c>
      <c r="C10" s="16" t="s">
        <v>92</v>
      </c>
      <c r="D10" s="16"/>
      <c r="E10" s="16">
        <f t="shared" ref="E10:F10" si="3">E11</f>
        <v>202</v>
      </c>
      <c r="F10" s="16">
        <f t="shared" si="3"/>
        <v>120</v>
      </c>
      <c r="G10" s="18">
        <f>G11</f>
        <v>126</v>
      </c>
      <c r="H10" s="16">
        <f t="shared" ref="H10" si="4">H11</f>
        <v>47</v>
      </c>
      <c r="I10" s="16">
        <f t="shared" ref="I10:J10" si="5">I11</f>
        <v>252</v>
      </c>
      <c r="J10" s="16">
        <f t="shared" si="5"/>
        <v>180</v>
      </c>
      <c r="K10" s="18">
        <f t="shared" ref="K10" si="6">K11</f>
        <v>178</v>
      </c>
      <c r="L10" s="16">
        <f t="shared" ref="L10" si="7">L11</f>
        <v>494</v>
      </c>
    </row>
    <row r="11" spans="1:12" x14ac:dyDescent="0.25">
      <c r="A11" s="10" t="s">
        <v>130</v>
      </c>
      <c r="B11" s="13" t="s">
        <v>24</v>
      </c>
      <c r="C11" s="10" t="s">
        <v>51</v>
      </c>
      <c r="D11" s="13" t="s">
        <v>163</v>
      </c>
      <c r="E11" s="10">
        <v>202</v>
      </c>
      <c r="F11" s="10">
        <v>120</v>
      </c>
      <c r="G11" s="14">
        <v>126</v>
      </c>
      <c r="H11" s="10">
        <v>47</v>
      </c>
      <c r="I11" s="10">
        <v>252</v>
      </c>
      <c r="J11" s="10">
        <v>180</v>
      </c>
      <c r="K11" s="24">
        <v>178</v>
      </c>
      <c r="L11" s="9">
        <v>494</v>
      </c>
    </row>
    <row r="12" spans="1:12" x14ac:dyDescent="0.25">
      <c r="A12" s="16" t="s">
        <v>114</v>
      </c>
      <c r="B12" s="17" t="s">
        <v>97</v>
      </c>
      <c r="C12" s="16" t="s">
        <v>98</v>
      </c>
      <c r="D12" s="16"/>
      <c r="E12" s="16">
        <f t="shared" ref="E12:F12" si="8">E13+E14</f>
        <v>265</v>
      </c>
      <c r="F12" s="16">
        <f t="shared" si="8"/>
        <v>80</v>
      </c>
      <c r="G12" s="18">
        <f>G13+G14</f>
        <v>95</v>
      </c>
      <c r="H12" s="16">
        <f t="shared" ref="H12:L12" si="9">H13+H14</f>
        <v>46</v>
      </c>
      <c r="I12" s="16">
        <f t="shared" si="9"/>
        <v>238</v>
      </c>
      <c r="J12" s="16">
        <f t="shared" si="9"/>
        <v>190</v>
      </c>
      <c r="K12" s="18">
        <f t="shared" si="9"/>
        <v>213</v>
      </c>
      <c r="L12" s="16">
        <f t="shared" si="9"/>
        <v>396</v>
      </c>
    </row>
    <row r="13" spans="1:12" x14ac:dyDescent="0.25">
      <c r="A13" s="10" t="s">
        <v>131</v>
      </c>
      <c r="B13" s="13" t="s">
        <v>4</v>
      </c>
      <c r="C13" s="10" t="s">
        <v>31</v>
      </c>
      <c r="D13" s="13" t="s">
        <v>163</v>
      </c>
      <c r="E13" s="10">
        <v>148</v>
      </c>
      <c r="F13" s="10">
        <v>20</v>
      </c>
      <c r="G13" s="14">
        <v>24</v>
      </c>
      <c r="H13" s="10">
        <v>0</v>
      </c>
      <c r="I13" s="10">
        <v>77</v>
      </c>
      <c r="J13" s="10">
        <v>50</v>
      </c>
      <c r="K13" s="24">
        <v>47</v>
      </c>
      <c r="L13" s="9">
        <v>94</v>
      </c>
    </row>
    <row r="14" spans="1:12" x14ac:dyDescent="0.25">
      <c r="A14" s="10" t="s">
        <v>132</v>
      </c>
      <c r="B14" s="13" t="s">
        <v>27</v>
      </c>
      <c r="C14" s="10" t="s">
        <v>54</v>
      </c>
      <c r="D14" s="13" t="s">
        <v>163</v>
      </c>
      <c r="E14" s="10">
        <v>117</v>
      </c>
      <c r="F14" s="10">
        <v>60</v>
      </c>
      <c r="G14" s="14">
        <v>71</v>
      </c>
      <c r="H14" s="10">
        <v>46</v>
      </c>
      <c r="I14" s="10">
        <v>161</v>
      </c>
      <c r="J14" s="10">
        <v>140</v>
      </c>
      <c r="K14" s="24">
        <v>166</v>
      </c>
      <c r="L14" s="9">
        <v>302</v>
      </c>
    </row>
    <row r="15" spans="1:12" x14ac:dyDescent="0.25">
      <c r="A15" s="16" t="s">
        <v>115</v>
      </c>
      <c r="B15" s="17" t="s">
        <v>85</v>
      </c>
      <c r="C15" s="16" t="s">
        <v>105</v>
      </c>
      <c r="D15" s="16"/>
      <c r="E15" s="16">
        <f t="shared" ref="E15:F15" si="10">SUM(E16:E26)</f>
        <v>2209</v>
      </c>
      <c r="F15" s="16">
        <f t="shared" si="10"/>
        <v>285</v>
      </c>
      <c r="G15" s="18">
        <f>SUM(G16:G26)</f>
        <v>302</v>
      </c>
      <c r="H15" s="10">
        <f t="shared" ref="H15:J15" si="11">SUM(H16:H26)</f>
        <v>168</v>
      </c>
      <c r="I15" s="16">
        <f>SUM(I16:I26)-6</f>
        <v>1820</v>
      </c>
      <c r="J15" s="16">
        <f t="shared" si="11"/>
        <v>285</v>
      </c>
      <c r="K15" s="18">
        <f t="shared" ref="K15" si="12">SUM(K16:K26)</f>
        <v>343</v>
      </c>
      <c r="L15" s="16">
        <f t="shared" ref="L15" si="13">SUM(L16:L26)</f>
        <v>1109</v>
      </c>
    </row>
    <row r="16" spans="1:12" x14ac:dyDescent="0.25">
      <c r="A16" s="10" t="s">
        <v>133</v>
      </c>
      <c r="B16" s="13" t="s">
        <v>23</v>
      </c>
      <c r="C16" s="10" t="s">
        <v>50</v>
      </c>
      <c r="D16" s="13" t="s">
        <v>163</v>
      </c>
      <c r="E16" s="10">
        <v>458</v>
      </c>
      <c r="F16" s="10">
        <v>30</v>
      </c>
      <c r="G16" s="14">
        <v>30</v>
      </c>
      <c r="H16" s="10">
        <v>36</v>
      </c>
      <c r="I16" s="10">
        <v>461</v>
      </c>
      <c r="J16" s="10">
        <v>30</v>
      </c>
      <c r="K16" s="24">
        <v>30</v>
      </c>
      <c r="L16" s="9">
        <v>125</v>
      </c>
    </row>
    <row r="17" spans="1:12" x14ac:dyDescent="0.25">
      <c r="A17" s="10" t="s">
        <v>135</v>
      </c>
      <c r="B17" s="13" t="s">
        <v>14</v>
      </c>
      <c r="C17" s="10" t="s">
        <v>41</v>
      </c>
      <c r="D17" s="13" t="s">
        <v>163</v>
      </c>
      <c r="E17" s="10">
        <v>459</v>
      </c>
      <c r="F17" s="10">
        <v>170</v>
      </c>
      <c r="G17" s="14">
        <v>168</v>
      </c>
      <c r="H17" s="10">
        <v>69</v>
      </c>
      <c r="I17" s="10">
        <v>474</v>
      </c>
      <c r="J17" s="10">
        <v>140</v>
      </c>
      <c r="K17" s="24">
        <v>136</v>
      </c>
      <c r="L17" s="9">
        <v>503</v>
      </c>
    </row>
    <row r="18" spans="1:12" x14ac:dyDescent="0.25">
      <c r="A18" s="10" t="s">
        <v>136</v>
      </c>
      <c r="B18" s="13" t="s">
        <v>17</v>
      </c>
      <c r="C18" s="10" t="s">
        <v>44</v>
      </c>
      <c r="D18" s="13" t="s">
        <v>163</v>
      </c>
      <c r="E18" s="10">
        <v>304</v>
      </c>
      <c r="F18" s="10">
        <v>10</v>
      </c>
      <c r="G18" s="14">
        <v>9</v>
      </c>
      <c r="H18" s="10">
        <v>7</v>
      </c>
      <c r="I18" s="10">
        <v>125</v>
      </c>
      <c r="J18" s="10">
        <v>10</v>
      </c>
      <c r="K18" s="24">
        <v>10</v>
      </c>
      <c r="L18" s="9">
        <v>44</v>
      </c>
    </row>
    <row r="19" spans="1:12" x14ac:dyDescent="0.25">
      <c r="A19" s="10" t="s">
        <v>137</v>
      </c>
      <c r="B19" s="13" t="s">
        <v>25</v>
      </c>
      <c r="C19" s="10" t="s">
        <v>52</v>
      </c>
      <c r="D19" s="13" t="s">
        <v>163</v>
      </c>
      <c r="E19" s="10">
        <v>239</v>
      </c>
      <c r="F19" s="10">
        <v>25</v>
      </c>
      <c r="G19" s="14">
        <v>25</v>
      </c>
      <c r="H19" s="10">
        <v>11</v>
      </c>
      <c r="I19" s="10">
        <v>166</v>
      </c>
      <c r="J19" s="10">
        <v>25</v>
      </c>
      <c r="K19" s="24">
        <v>24</v>
      </c>
      <c r="L19" s="9">
        <v>94</v>
      </c>
    </row>
    <row r="20" spans="1:12" x14ac:dyDescent="0.25">
      <c r="A20" s="10" t="s">
        <v>138</v>
      </c>
      <c r="B20" s="13" t="s">
        <v>19</v>
      </c>
      <c r="C20" s="10" t="s">
        <v>46</v>
      </c>
      <c r="D20" s="13" t="s">
        <v>163</v>
      </c>
      <c r="E20" s="10">
        <v>202</v>
      </c>
      <c r="F20" s="10">
        <v>20</v>
      </c>
      <c r="G20" s="14">
        <v>20</v>
      </c>
      <c r="H20" s="10">
        <v>10</v>
      </c>
      <c r="I20" s="10">
        <v>164</v>
      </c>
      <c r="J20" s="10">
        <v>20</v>
      </c>
      <c r="K20" s="24">
        <v>19</v>
      </c>
      <c r="L20" s="9">
        <v>73</v>
      </c>
    </row>
    <row r="21" spans="1:12" s="5" customFormat="1" x14ac:dyDescent="0.25">
      <c r="A21" s="10" t="s">
        <v>139</v>
      </c>
      <c r="B21" s="13" t="s">
        <v>11</v>
      </c>
      <c r="C21" s="10" t="s">
        <v>38</v>
      </c>
      <c r="D21" s="13" t="s">
        <v>163</v>
      </c>
      <c r="E21" s="10">
        <v>70</v>
      </c>
      <c r="F21" s="10">
        <v>0</v>
      </c>
      <c r="G21" s="14">
        <v>0</v>
      </c>
      <c r="H21" s="10">
        <v>0</v>
      </c>
      <c r="I21" s="14">
        <v>0</v>
      </c>
      <c r="J21" s="10">
        <v>0</v>
      </c>
      <c r="K21" s="24">
        <v>0</v>
      </c>
      <c r="L21" s="9">
        <v>0</v>
      </c>
    </row>
    <row r="22" spans="1:12" x14ac:dyDescent="0.25">
      <c r="A22" s="10" t="s">
        <v>140</v>
      </c>
      <c r="B22" s="13" t="s">
        <v>20</v>
      </c>
      <c r="C22" s="10" t="s">
        <v>47</v>
      </c>
      <c r="D22" s="13" t="s">
        <v>163</v>
      </c>
      <c r="E22" s="10">
        <v>171</v>
      </c>
      <c r="F22" s="10">
        <v>10</v>
      </c>
      <c r="G22" s="14">
        <v>23</v>
      </c>
      <c r="H22" s="10">
        <v>6</v>
      </c>
      <c r="I22" s="10">
        <v>115</v>
      </c>
      <c r="J22" s="10">
        <v>10</v>
      </c>
      <c r="K22" s="24">
        <v>27</v>
      </c>
      <c r="L22" s="9">
        <v>80</v>
      </c>
    </row>
    <row r="23" spans="1:12" x14ac:dyDescent="0.25">
      <c r="A23" s="10" t="s">
        <v>141</v>
      </c>
      <c r="B23" s="13" t="s">
        <v>2</v>
      </c>
      <c r="C23" s="10" t="s">
        <v>29</v>
      </c>
      <c r="D23" s="13" t="s">
        <v>163</v>
      </c>
      <c r="E23" s="10">
        <v>215</v>
      </c>
      <c r="F23" s="10">
        <v>0</v>
      </c>
      <c r="G23" s="14">
        <v>7</v>
      </c>
      <c r="H23" s="10">
        <v>4</v>
      </c>
      <c r="I23" s="10">
        <v>108</v>
      </c>
      <c r="J23" s="10">
        <v>0</v>
      </c>
      <c r="K23" s="24">
        <v>9</v>
      </c>
      <c r="L23" s="9">
        <v>21</v>
      </c>
    </row>
    <row r="24" spans="1:12" x14ac:dyDescent="0.25">
      <c r="A24" s="10" t="s">
        <v>142</v>
      </c>
      <c r="B24" s="13" t="s">
        <v>16</v>
      </c>
      <c r="C24" s="10" t="s">
        <v>43</v>
      </c>
      <c r="D24" s="13" t="s">
        <v>163</v>
      </c>
      <c r="E24" s="10">
        <v>91</v>
      </c>
      <c r="F24" s="10">
        <v>20</v>
      </c>
      <c r="G24" s="14">
        <v>20</v>
      </c>
      <c r="H24" s="10">
        <v>25</v>
      </c>
      <c r="I24" s="10">
        <v>104</v>
      </c>
      <c r="J24" s="10">
        <v>20</v>
      </c>
      <c r="K24" s="24">
        <v>59</v>
      </c>
      <c r="L24" s="9">
        <v>140</v>
      </c>
    </row>
    <row r="25" spans="1:12" x14ac:dyDescent="0.25">
      <c r="A25" s="10" t="s">
        <v>143</v>
      </c>
      <c r="B25" s="13" t="s">
        <v>9</v>
      </c>
      <c r="C25" s="10" t="s">
        <v>36</v>
      </c>
      <c r="D25" s="13" t="s">
        <v>163</v>
      </c>
      <c r="E25" s="10">
        <v>0</v>
      </c>
      <c r="F25" s="10">
        <v>0</v>
      </c>
      <c r="G25" s="14">
        <v>0</v>
      </c>
      <c r="H25" s="10">
        <v>0</v>
      </c>
      <c r="I25" s="10">
        <v>57</v>
      </c>
      <c r="J25" s="10">
        <v>15</v>
      </c>
      <c r="K25" s="24">
        <v>14</v>
      </c>
      <c r="L25" s="9">
        <v>14</v>
      </c>
    </row>
    <row r="26" spans="1:12" x14ac:dyDescent="0.25">
      <c r="A26" s="10" t="s">
        <v>144</v>
      </c>
      <c r="B26" s="13" t="s">
        <v>7</v>
      </c>
      <c r="C26" s="10" t="s">
        <v>34</v>
      </c>
      <c r="D26" s="13" t="s">
        <v>163</v>
      </c>
      <c r="E26" s="10">
        <v>0</v>
      </c>
      <c r="F26" s="10">
        <v>0</v>
      </c>
      <c r="G26" s="14">
        <v>0</v>
      </c>
      <c r="H26" s="10">
        <v>0</v>
      </c>
      <c r="I26" s="10">
        <v>52</v>
      </c>
      <c r="J26" s="10">
        <v>15</v>
      </c>
      <c r="K26" s="24">
        <v>15</v>
      </c>
      <c r="L26" s="9">
        <v>15</v>
      </c>
    </row>
    <row r="27" spans="1:12" x14ac:dyDescent="0.25">
      <c r="A27" s="16" t="s">
        <v>116</v>
      </c>
      <c r="B27" s="17" t="s">
        <v>78</v>
      </c>
      <c r="C27" s="16" t="s">
        <v>103</v>
      </c>
      <c r="D27" s="16"/>
      <c r="E27" s="16">
        <f t="shared" ref="E27:F27" si="14">E28+E29</f>
        <v>1134</v>
      </c>
      <c r="F27" s="16">
        <f t="shared" si="14"/>
        <v>500</v>
      </c>
      <c r="G27" s="18">
        <f>G28+G29</f>
        <v>675</v>
      </c>
      <c r="H27" s="16">
        <f t="shared" ref="H27" si="15">H28+H29</f>
        <v>142</v>
      </c>
      <c r="I27" s="16">
        <f t="shared" ref="I27:J27" si="16">I28+I29</f>
        <v>1086</v>
      </c>
      <c r="J27" s="16">
        <f t="shared" si="16"/>
        <v>700</v>
      </c>
      <c r="K27" s="18">
        <f t="shared" ref="K27" si="17">K28+K29</f>
        <v>736</v>
      </c>
      <c r="L27" s="16">
        <f t="shared" ref="L27" si="18">L28+L29</f>
        <v>2005</v>
      </c>
    </row>
    <row r="28" spans="1:12" x14ac:dyDescent="0.25">
      <c r="A28" s="10" t="s">
        <v>134</v>
      </c>
      <c r="B28" s="13" t="s">
        <v>13</v>
      </c>
      <c r="C28" s="10" t="s">
        <v>40</v>
      </c>
      <c r="D28" s="13" t="s">
        <v>163</v>
      </c>
      <c r="E28" s="10">
        <v>660</v>
      </c>
      <c r="F28" s="10">
        <v>80</v>
      </c>
      <c r="G28" s="14">
        <v>76</v>
      </c>
      <c r="H28" s="10">
        <v>32</v>
      </c>
      <c r="I28" s="10">
        <v>344</v>
      </c>
      <c r="J28" s="10">
        <v>160</v>
      </c>
      <c r="K28" s="24">
        <v>190</v>
      </c>
      <c r="L28" s="9">
        <v>398</v>
      </c>
    </row>
    <row r="29" spans="1:12" x14ac:dyDescent="0.25">
      <c r="A29" s="10" t="s">
        <v>145</v>
      </c>
      <c r="B29" s="13" t="s">
        <v>15</v>
      </c>
      <c r="C29" s="10" t="s">
        <v>42</v>
      </c>
      <c r="D29" s="13" t="s">
        <v>163</v>
      </c>
      <c r="E29" s="10">
        <v>474</v>
      </c>
      <c r="F29" s="10">
        <v>420</v>
      </c>
      <c r="G29" s="14">
        <v>599</v>
      </c>
      <c r="H29" s="10">
        <v>110</v>
      </c>
      <c r="I29" s="10">
        <v>742</v>
      </c>
      <c r="J29" s="10">
        <v>540</v>
      </c>
      <c r="K29" s="24">
        <v>546</v>
      </c>
      <c r="L29" s="9">
        <v>1607</v>
      </c>
    </row>
    <row r="30" spans="1:12" x14ac:dyDescent="0.25">
      <c r="A30" s="16" t="s">
        <v>117</v>
      </c>
      <c r="B30" s="17" t="s">
        <v>81</v>
      </c>
      <c r="C30" s="16" t="s">
        <v>104</v>
      </c>
      <c r="D30" s="16"/>
      <c r="E30" s="16">
        <f t="shared" ref="E30:F30" si="19">E31+E32</f>
        <v>50</v>
      </c>
      <c r="F30" s="16">
        <f t="shared" si="19"/>
        <v>0</v>
      </c>
      <c r="G30" s="18">
        <f>G31+G32</f>
        <v>0</v>
      </c>
      <c r="H30" s="16">
        <f t="shared" ref="H30:L30" si="20">H31+H32</f>
        <v>7</v>
      </c>
      <c r="I30" s="16">
        <f t="shared" si="20"/>
        <v>453</v>
      </c>
      <c r="J30" s="16">
        <f t="shared" si="20"/>
        <v>30</v>
      </c>
      <c r="K30" s="18">
        <f t="shared" si="20"/>
        <v>16</v>
      </c>
      <c r="L30" s="16">
        <f t="shared" si="20"/>
        <v>19</v>
      </c>
    </row>
    <row r="31" spans="1:12" x14ac:dyDescent="0.25">
      <c r="A31" s="10" t="s">
        <v>146</v>
      </c>
      <c r="B31" s="13" t="s">
        <v>5</v>
      </c>
      <c r="C31" s="10" t="s">
        <v>32</v>
      </c>
      <c r="D31" s="13" t="s">
        <v>163</v>
      </c>
      <c r="E31" s="10">
        <v>25</v>
      </c>
      <c r="F31" s="10">
        <v>0</v>
      </c>
      <c r="G31" s="14">
        <v>0</v>
      </c>
      <c r="H31" s="10">
        <v>5</v>
      </c>
      <c r="I31" s="10">
        <v>203</v>
      </c>
      <c r="J31" s="10">
        <v>15</v>
      </c>
      <c r="K31" s="24">
        <v>9</v>
      </c>
      <c r="L31" s="9">
        <v>12</v>
      </c>
    </row>
    <row r="32" spans="1:12" x14ac:dyDescent="0.25">
      <c r="A32" s="10" t="s">
        <v>147</v>
      </c>
      <c r="B32" s="13" t="s">
        <v>10</v>
      </c>
      <c r="C32" s="10" t="s">
        <v>37</v>
      </c>
      <c r="D32" s="13" t="s">
        <v>163</v>
      </c>
      <c r="E32" s="10">
        <v>25</v>
      </c>
      <c r="F32" s="10">
        <v>0</v>
      </c>
      <c r="G32" s="14">
        <v>0</v>
      </c>
      <c r="H32" s="10">
        <v>2</v>
      </c>
      <c r="I32" s="10">
        <v>250</v>
      </c>
      <c r="J32" s="10">
        <v>15</v>
      </c>
      <c r="K32" s="24">
        <v>7</v>
      </c>
      <c r="L32" s="9">
        <v>7</v>
      </c>
    </row>
    <row r="33" spans="1:12" x14ac:dyDescent="0.25">
      <c r="A33" s="16" t="s">
        <v>148</v>
      </c>
      <c r="B33" s="17" t="s">
        <v>68</v>
      </c>
      <c r="C33" s="16" t="s">
        <v>96</v>
      </c>
      <c r="D33" s="16"/>
      <c r="E33" s="16">
        <f t="shared" ref="E33:F33" si="21">E34</f>
        <v>136</v>
      </c>
      <c r="F33" s="16">
        <f t="shared" si="21"/>
        <v>30</v>
      </c>
      <c r="G33" s="18">
        <f>G34</f>
        <v>29</v>
      </c>
      <c r="H33" s="16">
        <f t="shared" ref="H33" si="22">H34</f>
        <v>0</v>
      </c>
      <c r="I33" s="16">
        <f t="shared" ref="I33:J33" si="23">I34</f>
        <v>130</v>
      </c>
      <c r="J33" s="16">
        <f t="shared" si="23"/>
        <v>100</v>
      </c>
      <c r="K33" s="18">
        <f t="shared" ref="K33" si="24">K34</f>
        <v>120</v>
      </c>
      <c r="L33" s="16">
        <f t="shared" ref="L33" si="25">L34</f>
        <v>190</v>
      </c>
    </row>
    <row r="34" spans="1:12" x14ac:dyDescent="0.25">
      <c r="A34" s="10" t="s">
        <v>149</v>
      </c>
      <c r="B34" s="13" t="s">
        <v>1</v>
      </c>
      <c r="C34" s="10" t="s">
        <v>28</v>
      </c>
      <c r="D34" s="13" t="s">
        <v>163</v>
      </c>
      <c r="E34" s="10">
        <v>136</v>
      </c>
      <c r="F34" s="10">
        <v>30</v>
      </c>
      <c r="G34" s="14">
        <v>29</v>
      </c>
      <c r="H34" s="10">
        <v>0</v>
      </c>
      <c r="I34" s="10">
        <v>130</v>
      </c>
      <c r="J34" s="10">
        <v>100</v>
      </c>
      <c r="K34" s="24">
        <v>120</v>
      </c>
      <c r="L34" s="9">
        <v>190</v>
      </c>
    </row>
    <row r="35" spans="1:12" x14ac:dyDescent="0.25">
      <c r="A35" s="16" t="s">
        <v>150</v>
      </c>
      <c r="B35" s="17" t="s">
        <v>22</v>
      </c>
      <c r="C35" s="16" t="s">
        <v>95</v>
      </c>
      <c r="D35" s="16"/>
      <c r="E35" s="16">
        <f t="shared" ref="E35:F35" si="26">E36</f>
        <v>130</v>
      </c>
      <c r="F35" s="16">
        <f t="shared" si="26"/>
        <v>30</v>
      </c>
      <c r="G35" s="18">
        <f>G36</f>
        <v>16</v>
      </c>
      <c r="H35" s="16">
        <f t="shared" ref="H35:L35" si="27">H36</f>
        <v>9</v>
      </c>
      <c r="I35" s="16">
        <f t="shared" si="27"/>
        <v>148</v>
      </c>
      <c r="J35" s="16">
        <f t="shared" si="27"/>
        <v>40</v>
      </c>
      <c r="K35" s="18">
        <f t="shared" si="27"/>
        <v>36</v>
      </c>
      <c r="L35" s="16">
        <f t="shared" si="27"/>
        <v>93</v>
      </c>
    </row>
    <row r="36" spans="1:12" x14ac:dyDescent="0.25">
      <c r="A36" s="10" t="s">
        <v>151</v>
      </c>
      <c r="B36" s="13" t="s">
        <v>22</v>
      </c>
      <c r="C36" s="10" t="s">
        <v>49</v>
      </c>
      <c r="D36" s="13" t="s">
        <v>163</v>
      </c>
      <c r="E36" s="10">
        <v>130</v>
      </c>
      <c r="F36" s="10">
        <v>30</v>
      </c>
      <c r="G36" s="14">
        <v>16</v>
      </c>
      <c r="H36" s="10">
        <v>9</v>
      </c>
      <c r="I36" s="10">
        <v>148</v>
      </c>
      <c r="J36" s="10">
        <v>40</v>
      </c>
      <c r="K36" s="24">
        <v>36</v>
      </c>
      <c r="L36" s="9">
        <v>93</v>
      </c>
    </row>
    <row r="37" spans="1:12" x14ac:dyDescent="0.25">
      <c r="A37" s="16" t="s">
        <v>152</v>
      </c>
      <c r="B37" s="17" t="s">
        <v>101</v>
      </c>
      <c r="C37" s="16" t="s">
        <v>102</v>
      </c>
      <c r="D37" s="16"/>
      <c r="E37" s="16">
        <f t="shared" ref="E37:F37" si="28">E38+E39+E40</f>
        <v>582</v>
      </c>
      <c r="F37" s="16">
        <f t="shared" si="28"/>
        <v>330</v>
      </c>
      <c r="G37" s="18">
        <f>G38+G39+G40</f>
        <v>328</v>
      </c>
      <c r="H37" s="16">
        <f t="shared" ref="H37:L37" si="29">H38+H39+H40</f>
        <v>166</v>
      </c>
      <c r="I37" s="16">
        <f t="shared" si="29"/>
        <v>556</v>
      </c>
      <c r="J37" s="16">
        <f t="shared" si="29"/>
        <v>410</v>
      </c>
      <c r="K37" s="18">
        <f t="shared" si="29"/>
        <v>528</v>
      </c>
      <c r="L37" s="16">
        <f t="shared" si="29"/>
        <v>1311</v>
      </c>
    </row>
    <row r="38" spans="1:12" x14ac:dyDescent="0.25">
      <c r="A38" s="10" t="s">
        <v>153</v>
      </c>
      <c r="B38" s="13" t="s">
        <v>26</v>
      </c>
      <c r="C38" s="10" t="s">
        <v>53</v>
      </c>
      <c r="D38" s="13" t="s">
        <v>163</v>
      </c>
      <c r="E38" s="10">
        <v>119</v>
      </c>
      <c r="F38" s="10">
        <v>70</v>
      </c>
      <c r="G38" s="14">
        <v>75</v>
      </c>
      <c r="H38" s="10">
        <v>37</v>
      </c>
      <c r="I38" s="10">
        <v>168</v>
      </c>
      <c r="J38" s="10">
        <v>130</v>
      </c>
      <c r="K38" s="24">
        <v>146</v>
      </c>
      <c r="L38" s="9">
        <v>324</v>
      </c>
    </row>
    <row r="39" spans="1:12" x14ac:dyDescent="0.25">
      <c r="A39" s="10" t="s">
        <v>154</v>
      </c>
      <c r="B39" s="13" t="s">
        <v>18</v>
      </c>
      <c r="C39" s="10" t="s">
        <v>45</v>
      </c>
      <c r="D39" s="13" t="s">
        <v>163</v>
      </c>
      <c r="E39" s="10">
        <v>136</v>
      </c>
      <c r="F39" s="10">
        <v>60</v>
      </c>
      <c r="G39" s="14">
        <v>50</v>
      </c>
      <c r="H39" s="10">
        <v>23</v>
      </c>
      <c r="I39" s="10">
        <v>120</v>
      </c>
      <c r="J39" s="10">
        <v>80</v>
      </c>
      <c r="K39" s="24">
        <v>96</v>
      </c>
      <c r="L39" s="9">
        <v>207</v>
      </c>
    </row>
    <row r="40" spans="1:12" x14ac:dyDescent="0.25">
      <c r="A40" s="10" t="s">
        <v>155</v>
      </c>
      <c r="B40" s="13" t="s">
        <v>12</v>
      </c>
      <c r="C40" s="10" t="s">
        <v>39</v>
      </c>
      <c r="D40" s="13" t="s">
        <v>163</v>
      </c>
      <c r="E40" s="10">
        <v>327</v>
      </c>
      <c r="F40" s="10">
        <v>200</v>
      </c>
      <c r="G40" s="14">
        <v>203</v>
      </c>
      <c r="H40" s="10">
        <v>106</v>
      </c>
      <c r="I40" s="10">
        <v>268</v>
      </c>
      <c r="J40" s="10">
        <v>200</v>
      </c>
      <c r="K40" s="24">
        <v>286</v>
      </c>
      <c r="L40" s="9">
        <v>780</v>
      </c>
    </row>
    <row r="41" spans="1:12" x14ac:dyDescent="0.25">
      <c r="A41" s="16" t="s">
        <v>156</v>
      </c>
      <c r="B41" s="17" t="s">
        <v>106</v>
      </c>
      <c r="C41" s="16" t="s">
        <v>107</v>
      </c>
      <c r="D41" s="16"/>
      <c r="E41" s="16">
        <f t="shared" ref="E41:F41" si="30">E42</f>
        <v>142</v>
      </c>
      <c r="F41" s="16">
        <f t="shared" si="30"/>
        <v>25</v>
      </c>
      <c r="G41" s="18">
        <f>G42</f>
        <v>30</v>
      </c>
      <c r="H41" s="16">
        <f t="shared" ref="H41" si="31">H42</f>
        <v>8</v>
      </c>
      <c r="I41" s="16">
        <f t="shared" ref="I41:J41" si="32">I42</f>
        <v>78</v>
      </c>
      <c r="J41" s="16">
        <f t="shared" si="32"/>
        <v>50</v>
      </c>
      <c r="K41" s="18">
        <f t="shared" ref="K41" si="33">K42</f>
        <v>63</v>
      </c>
      <c r="L41" s="16">
        <f t="shared" ref="L41" si="34">L42</f>
        <v>94</v>
      </c>
    </row>
    <row r="42" spans="1:12" x14ac:dyDescent="0.25">
      <c r="A42" s="10" t="s">
        <v>157</v>
      </c>
      <c r="B42" s="13" t="s">
        <v>3</v>
      </c>
      <c r="C42" s="10" t="s">
        <v>30</v>
      </c>
      <c r="D42" s="13" t="s">
        <v>163</v>
      </c>
      <c r="E42" s="10">
        <v>142</v>
      </c>
      <c r="F42" s="10">
        <v>25</v>
      </c>
      <c r="G42" s="14">
        <v>30</v>
      </c>
      <c r="H42" s="10">
        <v>8</v>
      </c>
      <c r="I42" s="10">
        <v>78</v>
      </c>
      <c r="J42" s="10">
        <v>50</v>
      </c>
      <c r="K42" s="24">
        <v>63</v>
      </c>
      <c r="L42" s="9">
        <v>94</v>
      </c>
    </row>
    <row r="43" spans="1:12" x14ac:dyDescent="0.25">
      <c r="A43" s="16" t="s">
        <v>158</v>
      </c>
      <c r="B43" s="17" t="s">
        <v>99</v>
      </c>
      <c r="C43" s="16" t="s">
        <v>100</v>
      </c>
      <c r="D43" s="16"/>
      <c r="E43" s="16">
        <f t="shared" ref="E43:F43" si="35">E44</f>
        <v>277</v>
      </c>
      <c r="F43" s="16">
        <f t="shared" si="35"/>
        <v>120</v>
      </c>
      <c r="G43" s="18">
        <f>G44</f>
        <v>109</v>
      </c>
      <c r="H43" s="16">
        <f t="shared" ref="H43" si="36">H44</f>
        <v>0</v>
      </c>
      <c r="I43" s="16">
        <f t="shared" ref="I43:J43" si="37">I44</f>
        <v>406</v>
      </c>
      <c r="J43" s="16">
        <f t="shared" si="37"/>
        <v>180</v>
      </c>
      <c r="K43" s="18">
        <f t="shared" ref="K43" si="38">K44</f>
        <v>182</v>
      </c>
      <c r="L43" s="16">
        <f t="shared" ref="L43" si="39">L44</f>
        <v>376</v>
      </c>
    </row>
    <row r="44" spans="1:12" x14ac:dyDescent="0.25">
      <c r="A44" s="10" t="s">
        <v>159</v>
      </c>
      <c r="B44" s="13" t="s">
        <v>6</v>
      </c>
      <c r="C44" s="10" t="s">
        <v>33</v>
      </c>
      <c r="D44" s="13" t="s">
        <v>163</v>
      </c>
      <c r="E44" s="10">
        <v>277</v>
      </c>
      <c r="F44" s="10">
        <v>120</v>
      </c>
      <c r="G44" s="14">
        <v>109</v>
      </c>
      <c r="H44" s="10">
        <v>0</v>
      </c>
      <c r="I44" s="10">
        <v>406</v>
      </c>
      <c r="J44" s="10">
        <v>180</v>
      </c>
      <c r="K44" s="24">
        <v>182</v>
      </c>
      <c r="L44" s="9">
        <v>376</v>
      </c>
    </row>
    <row r="45" spans="1:12" s="45" customFormat="1" ht="14.25" x14ac:dyDescent="0.2">
      <c r="A45" s="42">
        <v>2</v>
      </c>
      <c r="B45" s="43" t="s">
        <v>110</v>
      </c>
      <c r="C45" s="42"/>
      <c r="D45" s="42"/>
      <c r="E45" s="42">
        <v>2222</v>
      </c>
      <c r="F45" s="42">
        <v>628</v>
      </c>
      <c r="G45" s="42">
        <v>411</v>
      </c>
      <c r="H45" s="42"/>
      <c r="I45" s="42">
        <v>1983</v>
      </c>
      <c r="J45" s="42">
        <v>1188</v>
      </c>
      <c r="K45" s="44">
        <v>1072</v>
      </c>
      <c r="L45" s="44">
        <v>1485</v>
      </c>
    </row>
    <row r="46" spans="1:12" s="48" customFormat="1" ht="14.25" x14ac:dyDescent="0.2">
      <c r="A46" s="4" t="s">
        <v>66</v>
      </c>
      <c r="B46" s="11" t="s">
        <v>111</v>
      </c>
      <c r="C46" s="4"/>
      <c r="D46" s="4"/>
      <c r="E46" s="4"/>
      <c r="F46" s="4">
        <v>365</v>
      </c>
      <c r="G46" s="27">
        <v>8</v>
      </c>
      <c r="H46" s="4"/>
      <c r="I46" s="4"/>
      <c r="J46" s="4">
        <v>100</v>
      </c>
      <c r="K46" s="46">
        <v>0</v>
      </c>
      <c r="L46" s="47">
        <v>8</v>
      </c>
    </row>
    <row r="47" spans="1:12" s="48" customFormat="1" ht="14.25" x14ac:dyDescent="0.2">
      <c r="A47" s="4" t="s">
        <v>67</v>
      </c>
      <c r="B47" s="11" t="s">
        <v>85</v>
      </c>
      <c r="C47" s="4" t="s">
        <v>105</v>
      </c>
      <c r="D47" s="4"/>
      <c r="E47" s="4"/>
      <c r="F47" s="4">
        <v>315</v>
      </c>
      <c r="G47" s="27">
        <v>8</v>
      </c>
      <c r="H47" s="4"/>
      <c r="I47" s="4"/>
      <c r="J47" s="4">
        <v>100</v>
      </c>
      <c r="K47" s="46">
        <v>0</v>
      </c>
      <c r="L47" s="47">
        <v>8</v>
      </c>
    </row>
    <row r="48" spans="1:12" x14ac:dyDescent="0.25">
      <c r="A48" s="6" t="s">
        <v>70</v>
      </c>
      <c r="B48" s="12" t="s">
        <v>23</v>
      </c>
      <c r="C48" s="6" t="s">
        <v>50</v>
      </c>
      <c r="D48" s="6"/>
      <c r="E48" s="6"/>
      <c r="F48" s="6">
        <v>70</v>
      </c>
      <c r="G48" s="28">
        <v>0</v>
      </c>
      <c r="H48" s="6"/>
      <c r="I48" s="6"/>
      <c r="J48" s="6">
        <v>50</v>
      </c>
      <c r="K48" s="25">
        <v>0</v>
      </c>
      <c r="L48" s="7">
        <v>0</v>
      </c>
    </row>
    <row r="49" spans="1:12" x14ac:dyDescent="0.25">
      <c r="A49" s="6" t="s">
        <v>113</v>
      </c>
      <c r="B49" s="12" t="s">
        <v>14</v>
      </c>
      <c r="C49" s="6" t="s">
        <v>41</v>
      </c>
      <c r="D49" s="6"/>
      <c r="E49" s="6"/>
      <c r="F49" s="6">
        <v>70</v>
      </c>
      <c r="G49" s="28">
        <v>8</v>
      </c>
      <c r="H49" s="6"/>
      <c r="I49" s="6"/>
      <c r="J49" s="6">
        <v>50</v>
      </c>
      <c r="K49" s="25">
        <v>0</v>
      </c>
      <c r="L49" s="7">
        <v>0</v>
      </c>
    </row>
    <row r="50" spans="1:12" x14ac:dyDescent="0.25">
      <c r="A50" s="6" t="s">
        <v>171</v>
      </c>
      <c r="B50" s="12" t="s">
        <v>25</v>
      </c>
      <c r="C50" s="6" t="s">
        <v>52</v>
      </c>
      <c r="D50" s="6"/>
      <c r="E50" s="6"/>
      <c r="F50" s="6">
        <v>50</v>
      </c>
      <c r="G50" s="28">
        <v>0</v>
      </c>
      <c r="H50" s="6"/>
      <c r="I50" s="6"/>
      <c r="J50" s="6">
        <v>0</v>
      </c>
      <c r="K50" s="25">
        <v>0</v>
      </c>
      <c r="L50" s="7">
        <v>0</v>
      </c>
    </row>
    <row r="51" spans="1:12" x14ac:dyDescent="0.25">
      <c r="A51" s="6" t="s">
        <v>172</v>
      </c>
      <c r="B51" s="12" t="s">
        <v>20</v>
      </c>
      <c r="C51" s="6" t="s">
        <v>47</v>
      </c>
      <c r="D51" s="6"/>
      <c r="E51" s="6"/>
      <c r="F51" s="6">
        <v>40</v>
      </c>
      <c r="G51" s="28">
        <v>0</v>
      </c>
      <c r="H51" s="6"/>
      <c r="I51" s="6"/>
      <c r="J51" s="6">
        <v>0</v>
      </c>
      <c r="K51" s="25">
        <v>0</v>
      </c>
      <c r="L51" s="7">
        <v>0</v>
      </c>
    </row>
    <row r="52" spans="1:12" x14ac:dyDescent="0.25">
      <c r="A52" s="6" t="s">
        <v>173</v>
      </c>
      <c r="B52" s="12" t="s">
        <v>2</v>
      </c>
      <c r="C52" s="6" t="s">
        <v>29</v>
      </c>
      <c r="D52" s="6"/>
      <c r="E52" s="6"/>
      <c r="F52" s="6">
        <v>40</v>
      </c>
      <c r="G52" s="28">
        <v>0</v>
      </c>
      <c r="H52" s="6"/>
      <c r="I52" s="6"/>
      <c r="J52" s="6">
        <v>0</v>
      </c>
      <c r="K52" s="25">
        <v>0</v>
      </c>
      <c r="L52" s="7">
        <v>0</v>
      </c>
    </row>
    <row r="53" spans="1:12" x14ac:dyDescent="0.25">
      <c r="A53" s="6" t="s">
        <v>174</v>
      </c>
      <c r="B53" s="12" t="s">
        <v>16</v>
      </c>
      <c r="C53" s="6" t="s">
        <v>43</v>
      </c>
      <c r="D53" s="6"/>
      <c r="E53" s="6"/>
      <c r="F53" s="6">
        <v>45</v>
      </c>
      <c r="G53" s="28">
        <v>0</v>
      </c>
      <c r="H53" s="6"/>
      <c r="I53" s="6"/>
      <c r="J53" s="6">
        <v>0</v>
      </c>
      <c r="K53" s="25">
        <v>0</v>
      </c>
      <c r="L53" s="7">
        <v>0</v>
      </c>
    </row>
    <row r="54" spans="1:12" s="48" customFormat="1" ht="14.25" x14ac:dyDescent="0.2">
      <c r="A54" s="4" t="s">
        <v>72</v>
      </c>
      <c r="B54" s="11" t="s">
        <v>78</v>
      </c>
      <c r="C54" s="4" t="s">
        <v>103</v>
      </c>
      <c r="D54" s="4"/>
      <c r="E54" s="4"/>
      <c r="F54" s="4">
        <v>50</v>
      </c>
      <c r="G54" s="27">
        <v>0</v>
      </c>
      <c r="H54" s="4"/>
      <c r="I54" s="4"/>
      <c r="J54" s="4">
        <v>0</v>
      </c>
      <c r="K54" s="46">
        <v>0</v>
      </c>
      <c r="L54" s="47">
        <v>0</v>
      </c>
    </row>
    <row r="55" spans="1:12" x14ac:dyDescent="0.25">
      <c r="A55" s="6" t="s">
        <v>75</v>
      </c>
      <c r="B55" s="12" t="s">
        <v>13</v>
      </c>
      <c r="C55" s="6" t="s">
        <v>40</v>
      </c>
      <c r="D55" s="6"/>
      <c r="E55" s="6"/>
      <c r="F55" s="6">
        <v>0</v>
      </c>
      <c r="G55" s="28">
        <v>0</v>
      </c>
      <c r="H55" s="6"/>
      <c r="I55" s="6"/>
      <c r="J55" s="6">
        <v>0</v>
      </c>
      <c r="K55" s="25">
        <v>0</v>
      </c>
      <c r="L55" s="7">
        <v>0</v>
      </c>
    </row>
    <row r="56" spans="1:12" x14ac:dyDescent="0.25">
      <c r="A56" s="6" t="s">
        <v>77</v>
      </c>
      <c r="B56" s="12" t="s">
        <v>15</v>
      </c>
      <c r="C56" s="6" t="s">
        <v>42</v>
      </c>
      <c r="D56" s="6"/>
      <c r="E56" s="6"/>
      <c r="F56" s="6">
        <v>50</v>
      </c>
      <c r="G56" s="28">
        <v>0</v>
      </c>
      <c r="H56" s="6"/>
      <c r="I56" s="6"/>
      <c r="J56" s="6">
        <v>0</v>
      </c>
      <c r="K56" s="25">
        <v>0</v>
      </c>
      <c r="L56" s="7">
        <v>0</v>
      </c>
    </row>
    <row r="57" spans="1:12" s="50" customFormat="1" ht="14.25" x14ac:dyDescent="0.2">
      <c r="A57" s="32" t="s">
        <v>89</v>
      </c>
      <c r="B57" s="33" t="s">
        <v>108</v>
      </c>
      <c r="C57" s="32"/>
      <c r="D57" s="32"/>
      <c r="E57" s="32"/>
      <c r="F57" s="32">
        <v>30</v>
      </c>
      <c r="G57" s="27">
        <v>91</v>
      </c>
      <c r="H57" s="32"/>
      <c r="I57" s="32"/>
      <c r="J57" s="32">
        <v>115</v>
      </c>
      <c r="K57" s="46">
        <v>123</v>
      </c>
      <c r="L57" s="49">
        <v>214</v>
      </c>
    </row>
    <row r="58" spans="1:12" s="48" customFormat="1" ht="14.25" x14ac:dyDescent="0.2">
      <c r="A58" s="4" t="s">
        <v>164</v>
      </c>
      <c r="B58" s="11" t="s">
        <v>85</v>
      </c>
      <c r="C58" s="4" t="s">
        <v>105</v>
      </c>
      <c r="D58" s="4"/>
      <c r="E58" s="4"/>
      <c r="F58" s="4">
        <v>28</v>
      </c>
      <c r="G58" s="27">
        <v>85</v>
      </c>
      <c r="H58" s="4"/>
      <c r="I58" s="4"/>
      <c r="J58" s="4">
        <v>105</v>
      </c>
      <c r="K58" s="46">
        <v>114</v>
      </c>
      <c r="L58" s="47">
        <v>199</v>
      </c>
    </row>
    <row r="59" spans="1:12" x14ac:dyDescent="0.25">
      <c r="A59" s="6" t="s">
        <v>175</v>
      </c>
      <c r="B59" s="12" t="s">
        <v>23</v>
      </c>
      <c r="C59" s="6" t="s">
        <v>50</v>
      </c>
      <c r="D59" s="6"/>
      <c r="E59" s="6"/>
      <c r="F59" s="6">
        <v>18</v>
      </c>
      <c r="G59" s="28">
        <v>56</v>
      </c>
      <c r="H59" s="6"/>
      <c r="I59" s="6"/>
      <c r="J59" s="6">
        <v>60</v>
      </c>
      <c r="K59" s="25">
        <v>61</v>
      </c>
      <c r="L59" s="7">
        <v>117</v>
      </c>
    </row>
    <row r="60" spans="1:12" x14ac:dyDescent="0.25">
      <c r="A60" s="6" t="s">
        <v>176</v>
      </c>
      <c r="B60" s="12" t="s">
        <v>14</v>
      </c>
      <c r="C60" s="6" t="s">
        <v>41</v>
      </c>
      <c r="D60" s="6"/>
      <c r="E60" s="6"/>
      <c r="F60" s="6">
        <v>10</v>
      </c>
      <c r="G60" s="28">
        <v>29</v>
      </c>
      <c r="H60" s="6"/>
      <c r="I60" s="6"/>
      <c r="J60" s="6">
        <v>30</v>
      </c>
      <c r="K60" s="25">
        <v>24</v>
      </c>
      <c r="L60" s="7">
        <v>53</v>
      </c>
    </row>
    <row r="61" spans="1:12" x14ac:dyDescent="0.25">
      <c r="A61" s="6" t="s">
        <v>177</v>
      </c>
      <c r="B61" s="12" t="s">
        <v>20</v>
      </c>
      <c r="C61" s="6" t="s">
        <v>47</v>
      </c>
      <c r="D61" s="6"/>
      <c r="E61" s="6"/>
      <c r="F61" s="6">
        <v>0</v>
      </c>
      <c r="G61" s="28">
        <v>0</v>
      </c>
      <c r="H61" s="6"/>
      <c r="I61" s="6"/>
      <c r="J61" s="6">
        <v>10</v>
      </c>
      <c r="K61" s="25">
        <v>16</v>
      </c>
      <c r="L61" s="7">
        <v>16</v>
      </c>
    </row>
    <row r="62" spans="1:12" x14ac:dyDescent="0.25">
      <c r="A62" s="6" t="s">
        <v>178</v>
      </c>
      <c r="B62" s="12" t="s">
        <v>2</v>
      </c>
      <c r="C62" s="6" t="s">
        <v>29</v>
      </c>
      <c r="D62" s="6"/>
      <c r="E62" s="6"/>
      <c r="F62" s="6">
        <v>0</v>
      </c>
      <c r="G62" s="28">
        <v>0</v>
      </c>
      <c r="H62" s="6"/>
      <c r="I62" s="6"/>
      <c r="J62" s="6">
        <v>5</v>
      </c>
      <c r="K62" s="25">
        <v>13</v>
      </c>
      <c r="L62" s="7">
        <v>13</v>
      </c>
    </row>
    <row r="63" spans="1:12" x14ac:dyDescent="0.25">
      <c r="A63" s="4" t="s">
        <v>179</v>
      </c>
      <c r="B63" s="11" t="s">
        <v>101</v>
      </c>
      <c r="C63" s="4" t="s">
        <v>102</v>
      </c>
      <c r="D63" s="4"/>
      <c r="E63" s="6"/>
      <c r="F63" s="6">
        <v>2</v>
      </c>
      <c r="G63" s="27">
        <v>6</v>
      </c>
      <c r="H63" s="4"/>
      <c r="I63" s="4"/>
      <c r="J63" s="4">
        <v>10</v>
      </c>
      <c r="K63" s="25">
        <v>5</v>
      </c>
      <c r="L63" s="7">
        <v>11</v>
      </c>
    </row>
    <row r="64" spans="1:12" x14ac:dyDescent="0.25">
      <c r="A64" s="6" t="s">
        <v>180</v>
      </c>
      <c r="B64" s="12" t="s">
        <v>12</v>
      </c>
      <c r="C64" s="6" t="s">
        <v>39</v>
      </c>
      <c r="D64" s="6"/>
      <c r="E64" s="6"/>
      <c r="F64" s="6">
        <v>2</v>
      </c>
      <c r="G64" s="28">
        <v>6</v>
      </c>
      <c r="H64" s="6"/>
      <c r="I64" s="6"/>
      <c r="J64" s="6">
        <v>10</v>
      </c>
      <c r="K64" s="25">
        <v>5</v>
      </c>
      <c r="L64" s="7">
        <v>11</v>
      </c>
    </row>
    <row r="65" spans="1:13" s="26" customFormat="1" x14ac:dyDescent="0.25">
      <c r="A65" s="27"/>
      <c r="B65" s="29" t="s">
        <v>91</v>
      </c>
      <c r="C65" s="27"/>
      <c r="D65" s="27"/>
      <c r="E65" s="28"/>
      <c r="F65" s="28"/>
      <c r="G65" s="27">
        <v>0</v>
      </c>
      <c r="H65" s="27"/>
      <c r="I65" s="27"/>
      <c r="J65" s="27"/>
      <c r="K65" s="25">
        <v>2</v>
      </c>
      <c r="L65" s="25">
        <v>2</v>
      </c>
      <c r="M65" s="26" t="s">
        <v>219</v>
      </c>
    </row>
    <row r="66" spans="1:13" s="26" customFormat="1" x14ac:dyDescent="0.25">
      <c r="A66" s="28"/>
      <c r="B66" s="30" t="s">
        <v>24</v>
      </c>
      <c r="C66" s="28"/>
      <c r="D66" s="28"/>
      <c r="E66" s="28"/>
      <c r="F66" s="28"/>
      <c r="G66" s="28">
        <v>0</v>
      </c>
      <c r="H66" s="28"/>
      <c r="I66" s="28"/>
      <c r="J66" s="28"/>
      <c r="K66" s="25">
        <v>2</v>
      </c>
      <c r="L66" s="25">
        <v>2</v>
      </c>
      <c r="M66" s="26" t="s">
        <v>219</v>
      </c>
    </row>
    <row r="67" spans="1:13" x14ac:dyDescent="0.25">
      <c r="A67" s="4" t="s">
        <v>118</v>
      </c>
      <c r="B67" s="11" t="s">
        <v>109</v>
      </c>
      <c r="C67" s="4"/>
      <c r="D67" s="4"/>
      <c r="E67" s="6"/>
      <c r="F67" s="6">
        <v>153</v>
      </c>
      <c r="G67" s="27">
        <v>137</v>
      </c>
      <c r="H67" s="4"/>
      <c r="I67" s="4"/>
      <c r="J67" s="4">
        <v>553</v>
      </c>
      <c r="K67" s="25">
        <v>608</v>
      </c>
      <c r="L67" s="7">
        <v>746</v>
      </c>
    </row>
    <row r="68" spans="1:13" x14ac:dyDescent="0.25">
      <c r="A68" s="4" t="s">
        <v>165</v>
      </c>
      <c r="B68" s="11" t="s">
        <v>85</v>
      </c>
      <c r="C68" s="4" t="s">
        <v>105</v>
      </c>
      <c r="D68" s="4"/>
      <c r="E68" s="6"/>
      <c r="F68" s="6">
        <v>135</v>
      </c>
      <c r="G68" s="27">
        <v>122</v>
      </c>
      <c r="H68" s="4"/>
      <c r="I68" s="4"/>
      <c r="J68" s="4">
        <v>330</v>
      </c>
      <c r="K68" s="25">
        <v>456</v>
      </c>
      <c r="L68" s="7">
        <v>578</v>
      </c>
    </row>
    <row r="69" spans="1:13" x14ac:dyDescent="0.25">
      <c r="A69" s="6" t="s">
        <v>181</v>
      </c>
      <c r="B69" s="12" t="s">
        <v>23</v>
      </c>
      <c r="C69" s="6" t="s">
        <v>50</v>
      </c>
      <c r="D69" s="6"/>
      <c r="E69" s="6"/>
      <c r="F69" s="6">
        <v>28</v>
      </c>
      <c r="G69" s="28">
        <v>66</v>
      </c>
      <c r="H69" s="6"/>
      <c r="I69" s="6"/>
      <c r="J69" s="6">
        <v>100</v>
      </c>
      <c r="K69" s="25">
        <v>311</v>
      </c>
      <c r="L69" s="7">
        <v>377</v>
      </c>
    </row>
    <row r="70" spans="1:13" x14ac:dyDescent="0.25">
      <c r="A70" s="6" t="s">
        <v>182</v>
      </c>
      <c r="B70" s="12" t="s">
        <v>14</v>
      </c>
      <c r="C70" s="6" t="s">
        <v>41</v>
      </c>
      <c r="D70" s="6"/>
      <c r="E70" s="6"/>
      <c r="F70" s="6">
        <v>28</v>
      </c>
      <c r="G70" s="28">
        <v>43</v>
      </c>
      <c r="H70" s="6"/>
      <c r="I70" s="6"/>
      <c r="J70" s="6">
        <v>100</v>
      </c>
      <c r="K70" s="25">
        <v>102</v>
      </c>
      <c r="L70" s="7">
        <v>145</v>
      </c>
    </row>
    <row r="71" spans="1:13" x14ac:dyDescent="0.25">
      <c r="A71" s="6" t="s">
        <v>183</v>
      </c>
      <c r="B71" s="12" t="s">
        <v>17</v>
      </c>
      <c r="C71" s="6" t="s">
        <v>44</v>
      </c>
      <c r="D71" s="6"/>
      <c r="E71" s="6"/>
      <c r="F71" s="6">
        <v>30</v>
      </c>
      <c r="G71" s="28">
        <v>0</v>
      </c>
      <c r="H71" s="6"/>
      <c r="I71" s="6"/>
      <c r="J71" s="6">
        <v>20</v>
      </c>
      <c r="K71" s="25">
        <v>0</v>
      </c>
      <c r="L71" s="7">
        <v>0</v>
      </c>
    </row>
    <row r="72" spans="1:13" x14ac:dyDescent="0.25">
      <c r="A72" s="6" t="s">
        <v>184</v>
      </c>
      <c r="B72" s="12" t="s">
        <v>25</v>
      </c>
      <c r="C72" s="6" t="s">
        <v>52</v>
      </c>
      <c r="D72" s="6"/>
      <c r="E72" s="6"/>
      <c r="F72" s="6">
        <v>20</v>
      </c>
      <c r="G72" s="28">
        <v>13</v>
      </c>
      <c r="H72" s="6"/>
      <c r="I72" s="6"/>
      <c r="J72" s="6">
        <v>20</v>
      </c>
      <c r="K72" s="25">
        <v>0</v>
      </c>
      <c r="L72" s="7">
        <v>13</v>
      </c>
    </row>
    <row r="73" spans="1:13" x14ac:dyDescent="0.25">
      <c r="A73" s="6" t="s">
        <v>185</v>
      </c>
      <c r="B73" s="12" t="s">
        <v>19</v>
      </c>
      <c r="C73" s="6" t="s">
        <v>46</v>
      </c>
      <c r="D73" s="6"/>
      <c r="E73" s="6"/>
      <c r="F73" s="6">
        <v>20</v>
      </c>
      <c r="G73" s="28">
        <v>0</v>
      </c>
      <c r="H73" s="6"/>
      <c r="I73" s="6"/>
      <c r="J73" s="6">
        <v>20</v>
      </c>
      <c r="K73" s="25">
        <v>0</v>
      </c>
      <c r="L73" s="7">
        <v>0</v>
      </c>
    </row>
    <row r="74" spans="1:13" x14ac:dyDescent="0.25">
      <c r="A74" s="6" t="s">
        <v>186</v>
      </c>
      <c r="B74" s="12" t="s">
        <v>20</v>
      </c>
      <c r="C74" s="6" t="s">
        <v>47</v>
      </c>
      <c r="D74" s="6"/>
      <c r="E74" s="6"/>
      <c r="F74" s="6">
        <v>0</v>
      </c>
      <c r="G74" s="28">
        <v>0</v>
      </c>
      <c r="H74" s="6"/>
      <c r="I74" s="6"/>
      <c r="J74" s="6">
        <v>20</v>
      </c>
      <c r="K74" s="25">
        <v>17</v>
      </c>
      <c r="L74" s="7">
        <v>17</v>
      </c>
    </row>
    <row r="75" spans="1:13" x14ac:dyDescent="0.25">
      <c r="A75" s="6" t="s">
        <v>187</v>
      </c>
      <c r="B75" s="12" t="s">
        <v>2</v>
      </c>
      <c r="C75" s="6" t="s">
        <v>29</v>
      </c>
      <c r="D75" s="6"/>
      <c r="E75" s="6"/>
      <c r="F75" s="6">
        <v>0</v>
      </c>
      <c r="G75" s="28">
        <v>0</v>
      </c>
      <c r="H75" s="6"/>
      <c r="I75" s="6"/>
      <c r="J75" s="6">
        <v>20</v>
      </c>
      <c r="K75" s="25">
        <v>13</v>
      </c>
      <c r="L75" s="7">
        <v>13</v>
      </c>
    </row>
    <row r="76" spans="1:13" x14ac:dyDescent="0.25">
      <c r="A76" s="6" t="s">
        <v>188</v>
      </c>
      <c r="B76" s="12" t="s">
        <v>16</v>
      </c>
      <c r="C76" s="6" t="s">
        <v>43</v>
      </c>
      <c r="D76" s="6"/>
      <c r="E76" s="6"/>
      <c r="F76" s="6">
        <v>9</v>
      </c>
      <c r="G76" s="28">
        <v>0</v>
      </c>
      <c r="H76" s="6"/>
      <c r="I76" s="6"/>
      <c r="J76" s="6">
        <v>30</v>
      </c>
      <c r="K76" s="25">
        <v>13</v>
      </c>
      <c r="L76" s="7">
        <v>13</v>
      </c>
    </row>
    <row r="77" spans="1:13" x14ac:dyDescent="0.25">
      <c r="A77" s="4" t="s">
        <v>166</v>
      </c>
      <c r="B77" s="11" t="s">
        <v>78</v>
      </c>
      <c r="C77" s="4" t="s">
        <v>103</v>
      </c>
      <c r="D77" s="4"/>
      <c r="E77" s="6"/>
      <c r="F77" s="6">
        <v>3</v>
      </c>
      <c r="G77" s="27">
        <v>2</v>
      </c>
      <c r="H77" s="4"/>
      <c r="I77" s="4"/>
      <c r="J77" s="4">
        <v>45</v>
      </c>
      <c r="K77" s="25">
        <v>3</v>
      </c>
      <c r="L77" s="7">
        <v>6</v>
      </c>
    </row>
    <row r="78" spans="1:13" s="5" customFormat="1" x14ac:dyDescent="0.25">
      <c r="A78" s="10" t="s">
        <v>189</v>
      </c>
      <c r="B78" s="13" t="s">
        <v>13</v>
      </c>
      <c r="C78" s="10" t="s">
        <v>40</v>
      </c>
      <c r="D78" s="10"/>
      <c r="E78" s="10"/>
      <c r="F78" s="10">
        <v>3</v>
      </c>
      <c r="G78" s="14">
        <v>2</v>
      </c>
      <c r="H78" s="10"/>
      <c r="I78" s="10"/>
      <c r="J78" s="10">
        <v>40</v>
      </c>
      <c r="K78" s="19">
        <v>2</v>
      </c>
      <c r="L78" s="31">
        <v>5</v>
      </c>
    </row>
    <row r="79" spans="1:13" x14ac:dyDescent="0.25">
      <c r="A79" s="6" t="s">
        <v>190</v>
      </c>
      <c r="B79" s="12" t="s">
        <v>15</v>
      </c>
      <c r="C79" s="6" t="s">
        <v>42</v>
      </c>
      <c r="D79" s="6"/>
      <c r="E79" s="6"/>
      <c r="F79" s="6">
        <v>0</v>
      </c>
      <c r="G79" s="28">
        <v>0</v>
      </c>
      <c r="H79" s="6"/>
      <c r="I79" s="6"/>
      <c r="J79" s="6">
        <v>5</v>
      </c>
      <c r="K79" s="25">
        <v>1</v>
      </c>
      <c r="L79" s="7">
        <v>1</v>
      </c>
    </row>
    <row r="80" spans="1:13" x14ac:dyDescent="0.25">
      <c r="A80" s="4" t="s">
        <v>191</v>
      </c>
      <c r="B80" s="11" t="s">
        <v>81</v>
      </c>
      <c r="C80" s="4" t="s">
        <v>104</v>
      </c>
      <c r="D80" s="4"/>
      <c r="E80" s="6"/>
      <c r="F80" s="6">
        <v>0</v>
      </c>
      <c r="G80" s="27">
        <v>0</v>
      </c>
      <c r="H80" s="4"/>
      <c r="I80" s="4"/>
      <c r="J80" s="4">
        <v>10</v>
      </c>
      <c r="K80" s="25">
        <v>0</v>
      </c>
      <c r="L80" s="7">
        <v>0</v>
      </c>
    </row>
    <row r="81" spans="1:12" x14ac:dyDescent="0.25">
      <c r="A81" s="6" t="s">
        <v>192</v>
      </c>
      <c r="B81" s="12" t="s">
        <v>5</v>
      </c>
      <c r="C81" s="6" t="s">
        <v>32</v>
      </c>
      <c r="D81" s="6"/>
      <c r="E81" s="6"/>
      <c r="F81" s="6">
        <v>0</v>
      </c>
      <c r="G81" s="28">
        <v>0</v>
      </c>
      <c r="H81" s="6"/>
      <c r="I81" s="6"/>
      <c r="J81" s="6">
        <v>10</v>
      </c>
      <c r="K81" s="25">
        <v>0</v>
      </c>
      <c r="L81" s="7">
        <v>0</v>
      </c>
    </row>
    <row r="82" spans="1:12" x14ac:dyDescent="0.25">
      <c r="A82" s="4" t="s">
        <v>193</v>
      </c>
      <c r="B82" s="11" t="s">
        <v>22</v>
      </c>
      <c r="C82" s="4" t="s">
        <v>95</v>
      </c>
      <c r="D82" s="4"/>
      <c r="E82" s="6"/>
      <c r="F82" s="6">
        <v>0</v>
      </c>
      <c r="G82" s="27">
        <v>0</v>
      </c>
      <c r="H82" s="4"/>
      <c r="I82" s="4"/>
      <c r="J82" s="4">
        <v>20</v>
      </c>
      <c r="K82" s="25">
        <v>0</v>
      </c>
      <c r="L82" s="7">
        <v>0</v>
      </c>
    </row>
    <row r="83" spans="1:12" x14ac:dyDescent="0.25">
      <c r="A83" s="6" t="s">
        <v>194</v>
      </c>
      <c r="B83" s="12" t="s">
        <v>22</v>
      </c>
      <c r="C83" s="6" t="s">
        <v>49</v>
      </c>
      <c r="D83" s="6"/>
      <c r="E83" s="6"/>
      <c r="F83" s="6">
        <v>0</v>
      </c>
      <c r="G83" s="28">
        <v>0</v>
      </c>
      <c r="H83" s="6"/>
      <c r="I83" s="6"/>
      <c r="J83" s="6">
        <v>20</v>
      </c>
      <c r="K83" s="25">
        <v>0</v>
      </c>
      <c r="L83" s="7">
        <v>0</v>
      </c>
    </row>
    <row r="84" spans="1:12" x14ac:dyDescent="0.25">
      <c r="A84" s="4" t="s">
        <v>195</v>
      </c>
      <c r="B84" s="11" t="s">
        <v>101</v>
      </c>
      <c r="C84" s="4" t="s">
        <v>102</v>
      </c>
      <c r="D84" s="4"/>
      <c r="E84" s="6"/>
      <c r="F84" s="6">
        <v>15</v>
      </c>
      <c r="G84" s="27">
        <v>13</v>
      </c>
      <c r="H84" s="4"/>
      <c r="I84" s="4"/>
      <c r="J84" s="4">
        <v>20</v>
      </c>
      <c r="K84" s="25">
        <v>22</v>
      </c>
      <c r="L84" s="7">
        <v>35</v>
      </c>
    </row>
    <row r="85" spans="1:12" x14ac:dyDescent="0.25">
      <c r="A85" s="6" t="s">
        <v>196</v>
      </c>
      <c r="B85" s="12" t="s">
        <v>12</v>
      </c>
      <c r="C85" s="6" t="s">
        <v>39</v>
      </c>
      <c r="D85" s="6"/>
      <c r="E85" s="6"/>
      <c r="F85" s="6">
        <v>15</v>
      </c>
      <c r="G85" s="28">
        <v>13</v>
      </c>
      <c r="H85" s="6"/>
      <c r="I85" s="6"/>
      <c r="J85" s="6">
        <v>20</v>
      </c>
      <c r="K85" s="25">
        <v>22</v>
      </c>
      <c r="L85" s="7">
        <v>35</v>
      </c>
    </row>
    <row r="86" spans="1:12" x14ac:dyDescent="0.25">
      <c r="A86" s="4" t="s">
        <v>197</v>
      </c>
      <c r="B86" s="11" t="s">
        <v>91</v>
      </c>
      <c r="C86" s="4" t="s">
        <v>92</v>
      </c>
      <c r="D86" s="4"/>
      <c r="E86" s="6"/>
      <c r="F86" s="6">
        <v>0</v>
      </c>
      <c r="G86" s="27">
        <v>0</v>
      </c>
      <c r="H86" s="4"/>
      <c r="I86" s="4"/>
      <c r="J86" s="4">
        <v>10</v>
      </c>
      <c r="K86" s="25">
        <v>12</v>
      </c>
      <c r="L86" s="7">
        <v>12</v>
      </c>
    </row>
    <row r="87" spans="1:12" x14ac:dyDescent="0.25">
      <c r="A87" s="6" t="s">
        <v>198</v>
      </c>
      <c r="B87" s="12" t="s">
        <v>24</v>
      </c>
      <c r="C87" s="6" t="s">
        <v>51</v>
      </c>
      <c r="D87" s="6"/>
      <c r="E87" s="6"/>
      <c r="F87" s="6">
        <v>0</v>
      </c>
      <c r="G87" s="28">
        <v>0</v>
      </c>
      <c r="H87" s="6"/>
      <c r="I87" s="6"/>
      <c r="J87" s="6">
        <v>10</v>
      </c>
      <c r="K87" s="25">
        <v>12</v>
      </c>
      <c r="L87" s="7">
        <v>12</v>
      </c>
    </row>
    <row r="88" spans="1:12" x14ac:dyDescent="0.25">
      <c r="A88" s="4" t="s">
        <v>199</v>
      </c>
      <c r="B88" s="11" t="s">
        <v>99</v>
      </c>
      <c r="C88" s="4" t="s">
        <v>100</v>
      </c>
      <c r="D88" s="4"/>
      <c r="E88" s="6"/>
      <c r="F88" s="6">
        <v>0</v>
      </c>
      <c r="G88" s="27">
        <v>0</v>
      </c>
      <c r="H88" s="4"/>
      <c r="I88" s="4"/>
      <c r="J88" s="4">
        <v>118</v>
      </c>
      <c r="K88" s="25">
        <v>115</v>
      </c>
      <c r="L88" s="7">
        <v>115</v>
      </c>
    </row>
    <row r="89" spans="1:12" x14ac:dyDescent="0.25">
      <c r="A89" s="6" t="s">
        <v>200</v>
      </c>
      <c r="B89" s="12" t="s">
        <v>6</v>
      </c>
      <c r="C89" s="6" t="s">
        <v>33</v>
      </c>
      <c r="D89" s="6"/>
      <c r="E89" s="6"/>
      <c r="F89" s="6">
        <v>0</v>
      </c>
      <c r="G89" s="28">
        <v>0</v>
      </c>
      <c r="H89" s="6"/>
      <c r="I89" s="6"/>
      <c r="J89" s="6">
        <v>118</v>
      </c>
      <c r="K89" s="25">
        <v>115</v>
      </c>
      <c r="L89" s="7">
        <v>115</v>
      </c>
    </row>
    <row r="90" spans="1:12" ht="28.5" x14ac:dyDescent="0.25">
      <c r="A90" s="4" t="s">
        <v>119</v>
      </c>
      <c r="B90" s="11" t="s">
        <v>112</v>
      </c>
      <c r="C90" s="4"/>
      <c r="D90" s="4"/>
      <c r="E90" s="6"/>
      <c r="F90" s="6">
        <v>80</v>
      </c>
      <c r="G90" s="27">
        <v>175</v>
      </c>
      <c r="H90" s="4"/>
      <c r="I90" s="4"/>
      <c r="J90" s="4">
        <v>420</v>
      </c>
      <c r="K90" s="25">
        <v>341</v>
      </c>
      <c r="L90" s="7">
        <v>517</v>
      </c>
    </row>
    <row r="91" spans="1:12" s="36" customFormat="1" x14ac:dyDescent="0.25">
      <c r="A91" s="32" t="s">
        <v>167</v>
      </c>
      <c r="B91" s="33" t="s">
        <v>85</v>
      </c>
      <c r="C91" s="32" t="s">
        <v>105</v>
      </c>
      <c r="D91" s="32"/>
      <c r="E91" s="34"/>
      <c r="F91" s="34">
        <v>12</v>
      </c>
      <c r="G91" s="27">
        <v>35</v>
      </c>
      <c r="H91" s="32"/>
      <c r="I91" s="32"/>
      <c r="J91" s="32">
        <v>115</v>
      </c>
      <c r="K91" s="25">
        <v>19</v>
      </c>
      <c r="L91" s="35">
        <v>54</v>
      </c>
    </row>
    <row r="92" spans="1:12" s="36" customFormat="1" x14ac:dyDescent="0.25">
      <c r="A92" s="34" t="s">
        <v>201</v>
      </c>
      <c r="B92" s="37" t="s">
        <v>23</v>
      </c>
      <c r="C92" s="34" t="s">
        <v>50</v>
      </c>
      <c r="D92" s="34"/>
      <c r="E92" s="34"/>
      <c r="F92" s="34">
        <v>0</v>
      </c>
      <c r="G92" s="28">
        <v>6</v>
      </c>
      <c r="H92" s="34"/>
      <c r="I92" s="34"/>
      <c r="J92" s="34">
        <v>20</v>
      </c>
      <c r="K92" s="25">
        <v>5</v>
      </c>
      <c r="L92" s="35">
        <v>11</v>
      </c>
    </row>
    <row r="93" spans="1:12" s="36" customFormat="1" x14ac:dyDescent="0.25">
      <c r="A93" s="34" t="s">
        <v>202</v>
      </c>
      <c r="B93" s="37" t="s">
        <v>14</v>
      </c>
      <c r="C93" s="34" t="s">
        <v>41</v>
      </c>
      <c r="D93" s="34"/>
      <c r="E93" s="34"/>
      <c r="F93" s="34">
        <v>8</v>
      </c>
      <c r="G93" s="28">
        <v>21</v>
      </c>
      <c r="H93" s="34"/>
      <c r="I93" s="34"/>
      <c r="J93" s="34">
        <v>50</v>
      </c>
      <c r="K93" s="25">
        <v>14</v>
      </c>
      <c r="L93" s="35">
        <v>35</v>
      </c>
    </row>
    <row r="94" spans="1:12" s="36" customFormat="1" x14ac:dyDescent="0.25">
      <c r="A94" s="34" t="s">
        <v>203</v>
      </c>
      <c r="B94" s="37" t="s">
        <v>17</v>
      </c>
      <c r="C94" s="34" t="s">
        <v>44</v>
      </c>
      <c r="D94" s="34"/>
      <c r="E94" s="34"/>
      <c r="F94" s="34">
        <v>0</v>
      </c>
      <c r="G94" s="28">
        <v>0</v>
      </c>
      <c r="H94" s="34"/>
      <c r="I94" s="34"/>
      <c r="J94" s="34">
        <v>10</v>
      </c>
      <c r="K94" s="25">
        <v>0</v>
      </c>
      <c r="L94" s="35">
        <v>0</v>
      </c>
    </row>
    <row r="95" spans="1:12" s="36" customFormat="1" x14ac:dyDescent="0.25">
      <c r="A95" s="34" t="s">
        <v>204</v>
      </c>
      <c r="B95" s="37" t="s">
        <v>25</v>
      </c>
      <c r="C95" s="34" t="s">
        <v>52</v>
      </c>
      <c r="D95" s="34"/>
      <c r="E95" s="34"/>
      <c r="F95" s="34">
        <v>4</v>
      </c>
      <c r="G95" s="28">
        <v>8</v>
      </c>
      <c r="H95" s="34"/>
      <c r="I95" s="34"/>
      <c r="J95" s="34">
        <v>10</v>
      </c>
      <c r="K95" s="25">
        <v>0</v>
      </c>
      <c r="L95" s="35">
        <v>8</v>
      </c>
    </row>
    <row r="96" spans="1:12" s="36" customFormat="1" x14ac:dyDescent="0.25">
      <c r="A96" s="34" t="s">
        <v>205</v>
      </c>
      <c r="B96" s="37" t="s">
        <v>19</v>
      </c>
      <c r="C96" s="34" t="s">
        <v>46</v>
      </c>
      <c r="D96" s="34"/>
      <c r="E96" s="34"/>
      <c r="F96" s="34">
        <v>0</v>
      </c>
      <c r="G96" s="28">
        <v>0</v>
      </c>
      <c r="H96" s="34"/>
      <c r="I96" s="34"/>
      <c r="J96" s="34">
        <v>10</v>
      </c>
      <c r="K96" s="25">
        <v>0</v>
      </c>
      <c r="L96" s="35">
        <v>0</v>
      </c>
    </row>
    <row r="97" spans="1:12" s="36" customFormat="1" x14ac:dyDescent="0.25">
      <c r="A97" s="34" t="s">
        <v>206</v>
      </c>
      <c r="B97" s="37" t="s">
        <v>20</v>
      </c>
      <c r="C97" s="34" t="s">
        <v>47</v>
      </c>
      <c r="D97" s="34"/>
      <c r="E97" s="34"/>
      <c r="F97" s="34">
        <v>0</v>
      </c>
      <c r="G97" s="28">
        <v>0</v>
      </c>
      <c r="H97" s="34"/>
      <c r="I97" s="34"/>
      <c r="J97" s="34">
        <v>10</v>
      </c>
      <c r="K97" s="25">
        <v>0</v>
      </c>
      <c r="L97" s="35">
        <v>0</v>
      </c>
    </row>
    <row r="98" spans="1:12" s="36" customFormat="1" x14ac:dyDescent="0.25">
      <c r="A98" s="34" t="s">
        <v>207</v>
      </c>
      <c r="B98" s="37" t="s">
        <v>2</v>
      </c>
      <c r="C98" s="34" t="s">
        <v>29</v>
      </c>
      <c r="D98" s="34"/>
      <c r="E98" s="34"/>
      <c r="F98" s="34">
        <v>0</v>
      </c>
      <c r="G98" s="28">
        <v>0</v>
      </c>
      <c r="H98" s="34"/>
      <c r="I98" s="34"/>
      <c r="J98" s="34">
        <v>5</v>
      </c>
      <c r="K98" s="25">
        <v>0</v>
      </c>
      <c r="L98" s="35">
        <v>0</v>
      </c>
    </row>
    <row r="99" spans="1:12" s="36" customFormat="1" x14ac:dyDescent="0.25">
      <c r="A99" s="32" t="s">
        <v>208</v>
      </c>
      <c r="B99" s="33" t="s">
        <v>78</v>
      </c>
      <c r="C99" s="32" t="s">
        <v>103</v>
      </c>
      <c r="D99" s="32"/>
      <c r="E99" s="34"/>
      <c r="F99" s="34">
        <v>65</v>
      </c>
      <c r="G99" s="27">
        <v>133</v>
      </c>
      <c r="H99" s="32"/>
      <c r="I99" s="32"/>
      <c r="J99" s="32">
        <v>255</v>
      </c>
      <c r="K99" s="25">
        <v>289</v>
      </c>
      <c r="L99" s="35">
        <v>423</v>
      </c>
    </row>
    <row r="100" spans="1:12" s="41" customFormat="1" x14ac:dyDescent="0.25">
      <c r="A100" s="38" t="s">
        <v>209</v>
      </c>
      <c r="B100" s="39" t="s">
        <v>13</v>
      </c>
      <c r="C100" s="38" t="s">
        <v>40</v>
      </c>
      <c r="D100" s="38"/>
      <c r="E100" s="38"/>
      <c r="F100" s="38">
        <v>37</v>
      </c>
      <c r="G100" s="14">
        <v>133</v>
      </c>
      <c r="H100" s="38"/>
      <c r="I100" s="38"/>
      <c r="J100" s="38">
        <v>230</v>
      </c>
      <c r="K100" s="19">
        <v>266</v>
      </c>
      <c r="L100" s="40">
        <v>400</v>
      </c>
    </row>
    <row r="101" spans="1:12" s="36" customFormat="1" x14ac:dyDescent="0.25">
      <c r="A101" s="34" t="s">
        <v>210</v>
      </c>
      <c r="B101" s="37" t="s">
        <v>15</v>
      </c>
      <c r="C101" s="34" t="s">
        <v>42</v>
      </c>
      <c r="D101" s="34"/>
      <c r="E101" s="34"/>
      <c r="F101" s="34">
        <v>28</v>
      </c>
      <c r="G101" s="28">
        <v>0</v>
      </c>
      <c r="H101" s="34"/>
      <c r="I101" s="34"/>
      <c r="J101" s="34">
        <v>25</v>
      </c>
      <c r="K101" s="25">
        <v>23</v>
      </c>
      <c r="L101" s="35">
        <v>23</v>
      </c>
    </row>
    <row r="102" spans="1:12" s="36" customFormat="1" x14ac:dyDescent="0.25">
      <c r="A102" s="32" t="s">
        <v>211</v>
      </c>
      <c r="B102" s="33" t="s">
        <v>22</v>
      </c>
      <c r="C102" s="32" t="s">
        <v>95</v>
      </c>
      <c r="D102" s="32"/>
      <c r="E102" s="34"/>
      <c r="F102" s="34">
        <v>0</v>
      </c>
      <c r="G102" s="27">
        <v>0</v>
      </c>
      <c r="H102" s="32"/>
      <c r="I102" s="32"/>
      <c r="J102" s="32">
        <v>10</v>
      </c>
      <c r="K102" s="25">
        <v>16</v>
      </c>
      <c r="L102" s="35">
        <v>16</v>
      </c>
    </row>
    <row r="103" spans="1:12" s="36" customFormat="1" x14ac:dyDescent="0.25">
      <c r="A103" s="34" t="s">
        <v>212</v>
      </c>
      <c r="B103" s="37" t="s">
        <v>22</v>
      </c>
      <c r="C103" s="34" t="s">
        <v>49</v>
      </c>
      <c r="D103" s="34"/>
      <c r="E103" s="34"/>
      <c r="F103" s="34">
        <v>0</v>
      </c>
      <c r="G103" s="28">
        <v>0</v>
      </c>
      <c r="H103" s="34"/>
      <c r="I103" s="34"/>
      <c r="J103" s="34">
        <v>10</v>
      </c>
      <c r="K103" s="25">
        <v>16</v>
      </c>
      <c r="L103" s="35">
        <v>16</v>
      </c>
    </row>
    <row r="104" spans="1:12" s="36" customFormat="1" x14ac:dyDescent="0.25">
      <c r="A104" s="32" t="s">
        <v>213</v>
      </c>
      <c r="B104" s="33" t="s">
        <v>101</v>
      </c>
      <c r="C104" s="32" t="s">
        <v>102</v>
      </c>
      <c r="D104" s="32"/>
      <c r="E104" s="34"/>
      <c r="F104" s="34">
        <v>3</v>
      </c>
      <c r="G104" s="27">
        <v>7</v>
      </c>
      <c r="H104" s="32"/>
      <c r="I104" s="32"/>
      <c r="J104" s="32">
        <v>20</v>
      </c>
      <c r="K104" s="25">
        <v>6</v>
      </c>
      <c r="L104" s="35">
        <v>13</v>
      </c>
    </row>
    <row r="105" spans="1:12" s="36" customFormat="1" x14ac:dyDescent="0.25">
      <c r="A105" s="34" t="s">
        <v>214</v>
      </c>
      <c r="B105" s="37" t="s">
        <v>12</v>
      </c>
      <c r="C105" s="34" t="s">
        <v>39</v>
      </c>
      <c r="D105" s="34"/>
      <c r="E105" s="34"/>
      <c r="F105" s="34">
        <v>3</v>
      </c>
      <c r="G105" s="28">
        <v>7</v>
      </c>
      <c r="H105" s="34"/>
      <c r="I105" s="34"/>
      <c r="J105" s="34">
        <v>20</v>
      </c>
      <c r="K105" s="25">
        <v>6</v>
      </c>
      <c r="L105" s="35">
        <v>13</v>
      </c>
    </row>
    <row r="106" spans="1:12" s="36" customFormat="1" x14ac:dyDescent="0.25">
      <c r="A106" s="32" t="s">
        <v>215</v>
      </c>
      <c r="B106" s="33" t="s">
        <v>91</v>
      </c>
      <c r="C106" s="32" t="s">
        <v>92</v>
      </c>
      <c r="D106" s="32"/>
      <c r="E106" s="34"/>
      <c r="F106" s="34">
        <v>0</v>
      </c>
      <c r="G106" s="27">
        <v>0</v>
      </c>
      <c r="H106" s="32"/>
      <c r="I106" s="32"/>
      <c r="J106" s="32">
        <v>20</v>
      </c>
      <c r="K106" s="25">
        <v>11</v>
      </c>
      <c r="L106" s="35">
        <v>11</v>
      </c>
    </row>
    <row r="107" spans="1:12" x14ac:dyDescent="0.25">
      <c r="A107" s="6" t="s">
        <v>216</v>
      </c>
      <c r="B107" s="12" t="s">
        <v>24</v>
      </c>
      <c r="C107" s="6" t="s">
        <v>51</v>
      </c>
      <c r="D107" s="6"/>
      <c r="E107" s="6"/>
      <c r="F107" s="6">
        <v>0</v>
      </c>
      <c r="G107" s="28">
        <v>0</v>
      </c>
      <c r="H107" s="6"/>
      <c r="I107" s="6"/>
      <c r="J107" s="6">
        <v>20</v>
      </c>
      <c r="K107" s="25">
        <v>11</v>
      </c>
      <c r="L107" s="7">
        <v>11</v>
      </c>
    </row>
  </sheetData>
  <mergeCells count="11">
    <mergeCell ref="A2:J2"/>
    <mergeCell ref="G4:G5"/>
    <mergeCell ref="H4:H5"/>
    <mergeCell ref="I4:J4"/>
    <mergeCell ref="K4:K5"/>
    <mergeCell ref="L4:L5"/>
    <mergeCell ref="B4:B5"/>
    <mergeCell ref="A4:A5"/>
    <mergeCell ref="C4:C5"/>
    <mergeCell ref="D4:D5"/>
    <mergeCell ref="E4:F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70A2-B9A2-414B-A1A5-440A0815173D}">
  <dimension ref="A1:K19"/>
  <sheetViews>
    <sheetView topLeftCell="A3" workbookViewId="0">
      <selection activeCell="A6" sqref="A6:K19"/>
    </sheetView>
  </sheetViews>
  <sheetFormatPr defaultColWidth="9.140625" defaultRowHeight="15" x14ac:dyDescent="0.25"/>
  <cols>
    <col min="1" max="1" width="9.140625" style="2" customWidth="1"/>
    <col min="2" max="2" width="41.42578125" style="2" customWidth="1"/>
    <col min="3" max="9" width="8.28515625" style="2" customWidth="1"/>
    <col min="10" max="10" width="9.140625" style="2" customWidth="1"/>
    <col min="11" max="16384" width="9.140625" style="2"/>
  </cols>
  <sheetData>
    <row r="1" spans="1:11" s="1" customFormat="1" ht="13.9" x14ac:dyDescent="0.25"/>
    <row r="2" spans="1:11" s="1" customFormat="1" x14ac:dyDescent="0.25">
      <c r="A2" s="21" t="s">
        <v>162</v>
      </c>
      <c r="B2" s="21"/>
      <c r="C2" s="21"/>
      <c r="D2" s="21"/>
      <c r="E2" s="21"/>
      <c r="F2" s="21"/>
      <c r="G2" s="21"/>
      <c r="H2" s="21"/>
      <c r="I2" s="21"/>
    </row>
    <row r="4" spans="1:11" s="3" customFormat="1" ht="24" customHeight="1" x14ac:dyDescent="0.25">
      <c r="A4" s="20" t="s">
        <v>0</v>
      </c>
      <c r="B4" s="20" t="s">
        <v>62</v>
      </c>
      <c r="C4" s="20" t="s">
        <v>63</v>
      </c>
      <c r="D4" s="20" t="s">
        <v>122</v>
      </c>
      <c r="E4" s="20"/>
      <c r="F4" s="20" t="s">
        <v>123</v>
      </c>
      <c r="G4" s="20" t="s">
        <v>124</v>
      </c>
      <c r="H4" s="20" t="s">
        <v>125</v>
      </c>
      <c r="I4" s="20"/>
      <c r="J4" s="20" t="s">
        <v>160</v>
      </c>
      <c r="K4" s="20" t="s">
        <v>161</v>
      </c>
    </row>
    <row r="5" spans="1:11" s="3" customFormat="1" ht="49.9" customHeight="1" x14ac:dyDescent="0.25">
      <c r="A5" s="20"/>
      <c r="B5" s="20"/>
      <c r="C5" s="20"/>
      <c r="D5" s="15" t="s">
        <v>126</v>
      </c>
      <c r="E5" s="15" t="s">
        <v>127</v>
      </c>
      <c r="F5" s="20"/>
      <c r="G5" s="20"/>
      <c r="H5" s="4" t="s">
        <v>126</v>
      </c>
      <c r="I5" s="4" t="s">
        <v>127</v>
      </c>
      <c r="J5" s="20"/>
      <c r="K5" s="20"/>
    </row>
    <row r="6" spans="1:11" s="3" customFormat="1" ht="16.899999999999999" customHeight="1" x14ac:dyDescent="0.25">
      <c r="A6" s="4">
        <v>1</v>
      </c>
      <c r="B6" s="11" t="s">
        <v>57</v>
      </c>
      <c r="C6" s="4"/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ht="16.899999999999999" customHeight="1" x14ac:dyDescent="0.25">
      <c r="A7" s="4">
        <v>2</v>
      </c>
      <c r="B7" s="11" t="s">
        <v>55</v>
      </c>
      <c r="C7" s="4"/>
      <c r="D7" s="4">
        <f>D8+D11+D13+D16+D18</f>
        <v>400</v>
      </c>
      <c r="E7" s="4">
        <f t="shared" ref="E7:K7" si="0">E8+E11+E13+E16+E18</f>
        <v>265</v>
      </c>
      <c r="F7" s="4">
        <f t="shared" si="0"/>
        <v>170</v>
      </c>
      <c r="G7" s="4">
        <f t="shared" si="0"/>
        <v>0</v>
      </c>
      <c r="H7" s="4">
        <f t="shared" si="0"/>
        <v>458</v>
      </c>
      <c r="I7" s="4">
        <f t="shared" si="0"/>
        <v>295</v>
      </c>
      <c r="J7" s="4">
        <f t="shared" si="0"/>
        <v>275</v>
      </c>
      <c r="K7" s="4">
        <f t="shared" si="0"/>
        <v>467</v>
      </c>
    </row>
    <row r="8" spans="1:11" ht="16.899999999999999" customHeight="1" x14ac:dyDescent="0.25">
      <c r="A8" s="4" t="s">
        <v>66</v>
      </c>
      <c r="B8" s="11" t="s">
        <v>85</v>
      </c>
      <c r="C8" s="4" t="s">
        <v>86</v>
      </c>
      <c r="D8" s="4">
        <f>D9+D10</f>
        <v>150</v>
      </c>
      <c r="E8" s="4">
        <f t="shared" ref="E8:K8" si="1">E9+E10</f>
        <v>115</v>
      </c>
      <c r="F8" s="4">
        <f t="shared" si="1"/>
        <v>65</v>
      </c>
      <c r="G8" s="4">
        <f t="shared" si="1"/>
        <v>0</v>
      </c>
      <c r="H8" s="4">
        <f t="shared" si="1"/>
        <v>175</v>
      </c>
      <c r="I8" s="4">
        <f t="shared" si="1"/>
        <v>145</v>
      </c>
      <c r="J8" s="4">
        <f t="shared" si="1"/>
        <v>144</v>
      </c>
      <c r="K8" s="4">
        <f t="shared" si="1"/>
        <v>214</v>
      </c>
    </row>
    <row r="9" spans="1:11" ht="16.899999999999999" customHeight="1" x14ac:dyDescent="0.25">
      <c r="A9" s="6" t="s">
        <v>67</v>
      </c>
      <c r="B9" s="12" t="s">
        <v>56</v>
      </c>
      <c r="C9" s="6" t="s">
        <v>87</v>
      </c>
      <c r="D9" s="6">
        <v>105</v>
      </c>
      <c r="E9" s="6">
        <v>70</v>
      </c>
      <c r="F9" s="6">
        <f>VLOOKUP(C9,'[1]B5.NV'!$A$84:$N$91,12,0)</f>
        <v>38</v>
      </c>
      <c r="G9" s="6"/>
      <c r="H9" s="6">
        <v>113</v>
      </c>
      <c r="I9" s="6">
        <v>100</v>
      </c>
      <c r="J9" s="8">
        <f>VLOOKUP(C9,'[1]B5.NV'!$A$84:$N$91,14,0)</f>
        <v>99</v>
      </c>
      <c r="K9" s="8">
        <f>VLOOKUP(C9,'[1]B5.NV'!$A$84:$P$91,16,0)</f>
        <v>141</v>
      </c>
    </row>
    <row r="10" spans="1:11" ht="16.899999999999999" customHeight="1" x14ac:dyDescent="0.25">
      <c r="A10" s="6" t="s">
        <v>72</v>
      </c>
      <c r="B10" s="12" t="s">
        <v>61</v>
      </c>
      <c r="C10" s="6" t="s">
        <v>88</v>
      </c>
      <c r="D10" s="6">
        <v>45</v>
      </c>
      <c r="E10" s="6">
        <v>45</v>
      </c>
      <c r="F10" s="6">
        <f>VLOOKUP(C10,'[1]B5.NV'!$A$84:$N$91,12,0)</f>
        <v>27</v>
      </c>
      <c r="G10" s="6"/>
      <c r="H10" s="6">
        <v>62</v>
      </c>
      <c r="I10" s="6">
        <v>45</v>
      </c>
      <c r="J10" s="8">
        <f>VLOOKUP(C10,'[1]B5.NV'!$A$84:$N$91,14,0)</f>
        <v>45</v>
      </c>
      <c r="K10" s="8">
        <f>VLOOKUP(C10,'[1]B5.NV'!$A$84:$P$91,16,0)</f>
        <v>73</v>
      </c>
    </row>
    <row r="11" spans="1:11" ht="16.899999999999999" customHeight="1" x14ac:dyDescent="0.25">
      <c r="A11" s="4" t="s">
        <v>89</v>
      </c>
      <c r="B11" s="11" t="s">
        <v>78</v>
      </c>
      <c r="C11" s="4" t="s">
        <v>79</v>
      </c>
      <c r="D11" s="4">
        <f>D12</f>
        <v>45</v>
      </c>
      <c r="E11" s="4">
        <f t="shared" ref="E11:K11" si="2">E12</f>
        <v>25</v>
      </c>
      <c r="F11" s="4">
        <f t="shared" si="2"/>
        <v>16</v>
      </c>
      <c r="G11" s="4">
        <f t="shared" si="2"/>
        <v>0</v>
      </c>
      <c r="H11" s="4">
        <f t="shared" si="2"/>
        <v>49</v>
      </c>
      <c r="I11" s="4">
        <f t="shared" si="2"/>
        <v>20</v>
      </c>
      <c r="J11" s="4">
        <f t="shared" si="2"/>
        <v>19</v>
      </c>
      <c r="K11" s="4">
        <f t="shared" si="2"/>
        <v>35</v>
      </c>
    </row>
    <row r="12" spans="1:11" ht="16.899999999999999" customHeight="1" x14ac:dyDescent="0.25">
      <c r="A12" s="6" t="s">
        <v>164</v>
      </c>
      <c r="B12" s="12" t="s">
        <v>60</v>
      </c>
      <c r="C12" s="6" t="s">
        <v>80</v>
      </c>
      <c r="D12" s="6">
        <v>45</v>
      </c>
      <c r="E12" s="6">
        <v>25</v>
      </c>
      <c r="F12" s="6">
        <f>VLOOKUP(C12,'[1]B5.NV'!$A$84:$N$91,12,0)</f>
        <v>16</v>
      </c>
      <c r="G12" s="6"/>
      <c r="H12" s="6">
        <v>49</v>
      </c>
      <c r="I12" s="6">
        <v>20</v>
      </c>
      <c r="J12" s="8">
        <f>VLOOKUP(C12,'[1]B5.NV'!$A$84:$N$91,14,0)</f>
        <v>19</v>
      </c>
      <c r="K12" s="8">
        <f>VLOOKUP(C12,'[1]B5.NV'!$A$84:$P$91,16,0)</f>
        <v>35</v>
      </c>
    </row>
    <row r="13" spans="1:11" ht="16.899999999999999" customHeight="1" x14ac:dyDescent="0.25">
      <c r="A13" s="4" t="s">
        <v>118</v>
      </c>
      <c r="B13" s="11" t="s">
        <v>81</v>
      </c>
      <c r="C13" s="4" t="s">
        <v>82</v>
      </c>
      <c r="D13" s="4">
        <f>D14+D15</f>
        <v>50</v>
      </c>
      <c r="E13" s="4">
        <f t="shared" ref="E13:K13" si="3">E14+E15</f>
        <v>0</v>
      </c>
      <c r="F13" s="4">
        <f t="shared" si="3"/>
        <v>0</v>
      </c>
      <c r="G13" s="4">
        <f t="shared" si="3"/>
        <v>0</v>
      </c>
      <c r="H13" s="4">
        <f t="shared" si="3"/>
        <v>50</v>
      </c>
      <c r="I13" s="4">
        <f t="shared" si="3"/>
        <v>10</v>
      </c>
      <c r="J13" s="4">
        <f t="shared" si="3"/>
        <v>4</v>
      </c>
      <c r="K13" s="4">
        <f t="shared" si="3"/>
        <v>4</v>
      </c>
    </row>
    <row r="14" spans="1:11" ht="16.899999999999999" customHeight="1" x14ac:dyDescent="0.25">
      <c r="A14" s="6" t="s">
        <v>165</v>
      </c>
      <c r="B14" s="12" t="s">
        <v>5</v>
      </c>
      <c r="C14" s="6" t="s">
        <v>83</v>
      </c>
      <c r="D14" s="6">
        <v>25</v>
      </c>
      <c r="E14" s="6">
        <v>0</v>
      </c>
      <c r="F14" s="6">
        <f>VLOOKUP(C14,'[1]B5.NV'!$A$84:$N$91,12,0)</f>
        <v>0</v>
      </c>
      <c r="G14" s="6"/>
      <c r="H14" s="6">
        <v>20</v>
      </c>
      <c r="I14" s="6">
        <v>0</v>
      </c>
      <c r="J14" s="8">
        <f>VLOOKUP(C14,'[1]B5.NV'!$A$84:$N$91,14,0)</f>
        <v>0</v>
      </c>
      <c r="K14" s="8">
        <f>VLOOKUP(C14,'[1]B5.NV'!$A$84:$P$91,16,0)</f>
        <v>0</v>
      </c>
    </row>
    <row r="15" spans="1:11" ht="16.899999999999999" customHeight="1" x14ac:dyDescent="0.25">
      <c r="A15" s="6" t="s">
        <v>166</v>
      </c>
      <c r="B15" s="12" t="s">
        <v>10</v>
      </c>
      <c r="C15" s="6" t="s">
        <v>84</v>
      </c>
      <c r="D15" s="6">
        <v>25</v>
      </c>
      <c r="E15" s="6">
        <v>0</v>
      </c>
      <c r="F15" s="6">
        <f>VLOOKUP(C15,'[1]B5.NV'!$A$84:$N$91,12,0)</f>
        <v>0</v>
      </c>
      <c r="G15" s="6"/>
      <c r="H15" s="6">
        <v>30</v>
      </c>
      <c r="I15" s="6">
        <v>10</v>
      </c>
      <c r="J15" s="8">
        <f>VLOOKUP(C15,'[1]B5.NV'!$A$84:$N$91,14,0)</f>
        <v>4</v>
      </c>
      <c r="K15" s="8">
        <f>VLOOKUP(C15,'[1]B5.NV'!$A$84:$P$91,16,0)</f>
        <v>4</v>
      </c>
    </row>
    <row r="16" spans="1:11" ht="16.899999999999999" customHeight="1" x14ac:dyDescent="0.25">
      <c r="A16" s="4" t="s">
        <v>119</v>
      </c>
      <c r="B16" s="11" t="s">
        <v>73</v>
      </c>
      <c r="C16" s="4" t="s">
        <v>74</v>
      </c>
      <c r="D16" s="4">
        <f>D17</f>
        <v>40</v>
      </c>
      <c r="E16" s="4">
        <f t="shared" ref="E16:K16" si="4">E17</f>
        <v>15</v>
      </c>
      <c r="F16" s="4">
        <f t="shared" si="4"/>
        <v>2</v>
      </c>
      <c r="G16" s="4">
        <f t="shared" si="4"/>
        <v>0</v>
      </c>
      <c r="H16" s="4">
        <f t="shared" si="4"/>
        <v>39</v>
      </c>
      <c r="I16" s="4">
        <f t="shared" si="4"/>
        <v>10</v>
      </c>
      <c r="J16" s="4">
        <f t="shared" si="4"/>
        <v>0</v>
      </c>
      <c r="K16" s="4">
        <f t="shared" si="4"/>
        <v>3</v>
      </c>
    </row>
    <row r="17" spans="1:11" ht="16.899999999999999" customHeight="1" x14ac:dyDescent="0.25">
      <c r="A17" s="6" t="s">
        <v>167</v>
      </c>
      <c r="B17" s="12" t="s">
        <v>59</v>
      </c>
      <c r="C17" s="6" t="s">
        <v>76</v>
      </c>
      <c r="D17" s="6">
        <v>40</v>
      </c>
      <c r="E17" s="6">
        <v>15</v>
      </c>
      <c r="F17" s="6">
        <f>VLOOKUP(C17,'[1]B5.NV'!$A$84:$N$91,12,0)</f>
        <v>2</v>
      </c>
      <c r="G17" s="6"/>
      <c r="H17" s="6">
        <v>39</v>
      </c>
      <c r="I17" s="6">
        <v>10</v>
      </c>
      <c r="J17" s="8">
        <f>VLOOKUP(C17,'[1]B5.NV'!$A$84:$N$91,14,0)</f>
        <v>0</v>
      </c>
      <c r="K17" s="8">
        <f>VLOOKUP(C17,'[1]B5.NV'!$A$84:$P$91,16,0)</f>
        <v>3</v>
      </c>
    </row>
    <row r="18" spans="1:11" ht="16.899999999999999" customHeight="1" x14ac:dyDescent="0.25">
      <c r="A18" s="4" t="s">
        <v>120</v>
      </c>
      <c r="B18" s="11" t="s">
        <v>68</v>
      </c>
      <c r="C18" s="4" t="s">
        <v>69</v>
      </c>
      <c r="D18" s="4">
        <f>D19</f>
        <v>115</v>
      </c>
      <c r="E18" s="4">
        <f t="shared" ref="E18:K18" si="5">E19</f>
        <v>110</v>
      </c>
      <c r="F18" s="4">
        <f t="shared" si="5"/>
        <v>87</v>
      </c>
      <c r="G18" s="4">
        <f t="shared" si="5"/>
        <v>0</v>
      </c>
      <c r="H18" s="4">
        <f t="shared" si="5"/>
        <v>145</v>
      </c>
      <c r="I18" s="4">
        <f t="shared" si="5"/>
        <v>110</v>
      </c>
      <c r="J18" s="4">
        <f t="shared" si="5"/>
        <v>108</v>
      </c>
      <c r="K18" s="4">
        <f t="shared" si="5"/>
        <v>211</v>
      </c>
    </row>
    <row r="19" spans="1:11" ht="16.899999999999999" customHeight="1" x14ac:dyDescent="0.25">
      <c r="A19" s="6" t="s">
        <v>168</v>
      </c>
      <c r="B19" s="12" t="s">
        <v>58</v>
      </c>
      <c r="C19" s="6" t="s">
        <v>71</v>
      </c>
      <c r="D19" s="6">
        <v>115</v>
      </c>
      <c r="E19" s="6">
        <v>110</v>
      </c>
      <c r="F19" s="6">
        <f>VLOOKUP(C19,'[1]B5.NV'!$A$84:$N$91,12,0)</f>
        <v>87</v>
      </c>
      <c r="G19" s="6"/>
      <c r="H19" s="6">
        <v>145</v>
      </c>
      <c r="I19" s="6">
        <v>110</v>
      </c>
      <c r="J19" s="8">
        <f>VLOOKUP(C19,'[1]B5.NV'!$A$84:$N$91,14,0)</f>
        <v>108</v>
      </c>
      <c r="K19" s="8">
        <f>VLOOKUP(C19,'[1]B5.NV'!$A$84:$P$91,16,0)</f>
        <v>211</v>
      </c>
    </row>
  </sheetData>
  <mergeCells count="10">
    <mergeCell ref="J4:J5"/>
    <mergeCell ref="K4:K5"/>
    <mergeCell ref="A2:I2"/>
    <mergeCell ref="A4:A5"/>
    <mergeCell ref="B4:B5"/>
    <mergeCell ref="C4:C5"/>
    <mergeCell ref="D4:E4"/>
    <mergeCell ref="F4:F5"/>
    <mergeCell ref="G4:G5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MS01</vt:lpstr>
      <vt:lpstr>MS02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File 2026-05-08T11:00:59.688</dc:title>
  <dc:subject/>
  <dc:creator>BGD CHI TIEU TUYEN SINH</dc:creator>
  <cp:lastModifiedBy>THANH GIONG</cp:lastModifiedBy>
  <dcterms:created xsi:type="dcterms:W3CDTF">2022-03-01T03:28:34Z</dcterms:created>
  <dcterms:modified xsi:type="dcterms:W3CDTF">2026-05-08T10:18:05Z</dcterms:modified>
  <cp:category>BGD CHI TIEU TUYEN SINH</cp:category>
</cp:coreProperties>
</file>